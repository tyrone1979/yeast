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 firstSheet="41" activeTab="42"/>
  </bookViews>
  <sheets>
    <sheet name="DIFF" sheetId="1" r:id="rId1"/>
    <sheet name="评价标准" sheetId="2" r:id="rId2"/>
    <sheet name="01" sheetId="3" r:id="rId3"/>
    <sheet name="02" sheetId="4" r:id="rId4"/>
    <sheet name="03" sheetId="5" r:id="rId5"/>
    <sheet name="04" sheetId="6" r:id="rId6"/>
    <sheet name="05" sheetId="7" r:id="rId7"/>
    <sheet name="06" sheetId="8" r:id="rId8"/>
    <sheet name="07" sheetId="9" r:id="rId9"/>
    <sheet name="08" sheetId="10" r:id="rId10"/>
    <sheet name="09" sheetId="11" r:id="rId11"/>
    <sheet name="10" sheetId="12" r:id="rId12"/>
    <sheet name="11" sheetId="13" r:id="rId13"/>
    <sheet name="12" sheetId="14" r:id="rId14"/>
    <sheet name="13" sheetId="16" r:id="rId15"/>
    <sheet name="14" sheetId="18" r:id="rId16"/>
    <sheet name="15" sheetId="17" r:id="rId17"/>
    <sheet name="16" sheetId="19" r:id="rId18"/>
    <sheet name="17" sheetId="20" r:id="rId19"/>
    <sheet name="18" sheetId="21" r:id="rId20"/>
    <sheet name="19" sheetId="22" r:id="rId21"/>
    <sheet name="20" sheetId="23" r:id="rId22"/>
    <sheet name="21" sheetId="24" r:id="rId23"/>
    <sheet name="22" sheetId="25" r:id="rId24"/>
    <sheet name="23" sheetId="26" r:id="rId25"/>
    <sheet name="24" sheetId="27" r:id="rId26"/>
    <sheet name="25" sheetId="28" r:id="rId27"/>
    <sheet name="26" sheetId="29" r:id="rId28"/>
    <sheet name="27" sheetId="30" r:id="rId29"/>
    <sheet name="28" sheetId="31" r:id="rId30"/>
    <sheet name="29" sheetId="32" r:id="rId31"/>
    <sheet name="30" sheetId="33" r:id="rId32"/>
    <sheet name="31" sheetId="34" r:id="rId33"/>
    <sheet name="32" sheetId="35" r:id="rId34"/>
    <sheet name="33" sheetId="36" r:id="rId35"/>
    <sheet name="34" sheetId="37" r:id="rId36"/>
    <sheet name="35" sheetId="38" r:id="rId37"/>
    <sheet name="36" sheetId="39" r:id="rId38"/>
    <sheet name="37" sheetId="40" r:id="rId39"/>
    <sheet name="38" sheetId="41" r:id="rId40"/>
    <sheet name="39" sheetId="42" r:id="rId41"/>
    <sheet name="40" sheetId="43" r:id="rId42"/>
    <sheet name="41" sheetId="44" r:id="rId43"/>
    <sheet name="42" sheetId="45" r:id="rId44"/>
    <sheet name="43" sheetId="46" r:id="rId45"/>
    <sheet name="44" sheetId="47" r:id="rId46"/>
    <sheet name="45" sheetId="48" r:id="rId47"/>
    <sheet name="46" sheetId="49" r:id="rId48"/>
    <sheet name="47" sheetId="50" r:id="rId49"/>
    <sheet name="48" sheetId="51" r:id="rId50"/>
    <sheet name="49" sheetId="52" r:id="rId51"/>
    <sheet name="50" sheetId="53" r:id="rId52"/>
    <sheet name="51" sheetId="54" r:id="rId53"/>
    <sheet name="52" sheetId="55" r:id="rId54"/>
    <sheet name="53" sheetId="57" r:id="rId55"/>
    <sheet name="54" sheetId="58" r:id="rId56"/>
    <sheet name="55" sheetId="59" r:id="rId57"/>
    <sheet name="56" sheetId="60" r:id="rId58"/>
    <sheet name="57" sheetId="61" r:id="rId59"/>
    <sheet name="58" sheetId="62" r:id="rId60"/>
    <sheet name="59" sheetId="63" r:id="rId61"/>
    <sheet name="60" sheetId="64" r:id="rId62"/>
    <sheet name="61" sheetId="65" r:id="rId63"/>
  </sheets>
  <calcPr calcId="144525"/>
</workbook>
</file>

<file path=xl/comments1.xml><?xml version="1.0" encoding="utf-8"?>
<comments xmlns="http://schemas.openxmlformats.org/spreadsheetml/2006/main">
  <authors>
    <author>jingd</author>
  </authors>
  <commentList>
    <comment ref="E11" authorId="0">
      <text>
        <r>
          <rPr>
            <b/>
            <sz val="9"/>
            <rFont val="宋体"/>
            <charset val="134"/>
          </rPr>
          <t>jingd:</t>
        </r>
        <r>
          <rPr>
            <sz val="9"/>
            <rFont val="宋体"/>
            <charset val="134"/>
          </rPr>
          <t xml:space="preserve">
设备故障</t>
        </r>
      </text>
    </comment>
  </commentList>
</comments>
</file>

<file path=xl/comments2.xml><?xml version="1.0" encoding="utf-8"?>
<comments xmlns="http://schemas.openxmlformats.org/spreadsheetml/2006/main">
  <authors>
    <author>jingd</author>
  </authors>
  <commentList>
    <comment ref="E17" authorId="0">
      <text>
        <r>
          <rPr>
            <b/>
            <sz val="9"/>
            <rFont val="宋体"/>
            <charset val="134"/>
          </rPr>
          <t>jingd:</t>
        </r>
        <r>
          <rPr>
            <sz val="9"/>
            <rFont val="宋体"/>
            <charset val="134"/>
          </rPr>
          <t xml:space="preserve">
设备故障</t>
        </r>
      </text>
    </comment>
  </commentList>
</comments>
</file>

<file path=xl/comments3.xml><?xml version="1.0" encoding="utf-8"?>
<comments xmlns="http://schemas.openxmlformats.org/spreadsheetml/2006/main">
  <authors>
    <author>jingd</author>
  </authors>
  <commentList>
    <comment ref="E10" authorId="0">
      <text>
        <r>
          <rPr>
            <b/>
            <sz val="9"/>
            <rFont val="宋体"/>
            <charset val="134"/>
          </rPr>
          <t>jingd:</t>
        </r>
        <r>
          <rPr>
            <sz val="9"/>
            <rFont val="宋体"/>
            <charset val="134"/>
          </rPr>
          <t xml:space="preserve">
设备故障
</t>
        </r>
      </text>
    </comment>
  </commentList>
</comments>
</file>

<file path=xl/comments4.xml><?xml version="1.0" encoding="utf-8"?>
<comments xmlns="http://schemas.openxmlformats.org/spreadsheetml/2006/main">
  <authors>
    <author>jingd</author>
  </authors>
  <commentList>
    <comment ref="E7" authorId="0">
      <text>
        <r>
          <rPr>
            <b/>
            <sz val="9"/>
            <rFont val="宋体"/>
            <charset val="134"/>
          </rPr>
          <t>jingd:</t>
        </r>
        <r>
          <rPr>
            <sz val="9"/>
            <rFont val="宋体"/>
            <charset val="134"/>
          </rPr>
          <t xml:space="preserve">
设备故障</t>
        </r>
      </text>
    </comment>
  </commentList>
</comments>
</file>

<file path=xl/sharedStrings.xml><?xml version="1.0" encoding="utf-8"?>
<sst xmlns="http://schemas.openxmlformats.org/spreadsheetml/2006/main" count="1437" uniqueCount="209">
  <si>
    <t>MODIFIED</t>
  </si>
  <si>
    <t>ZHENAO TRIAL DIFFERENTIAL  BREW   PROTOCOL-NOV.2014</t>
  </si>
  <si>
    <t xml:space="preserve"> Materials</t>
  </si>
  <si>
    <t xml:space="preserve">      Seed</t>
  </si>
  <si>
    <t>Start Up</t>
  </si>
  <si>
    <t xml:space="preserve">                 Main Ferm</t>
  </si>
  <si>
    <t>WORT</t>
  </si>
  <si>
    <t>TOTAL</t>
  </si>
  <si>
    <t xml:space="preserve">Water    </t>
  </si>
  <si>
    <t>litres</t>
  </si>
  <si>
    <t>BREWING PARAMETERS</t>
  </si>
  <si>
    <t xml:space="preserve">TRS     </t>
  </si>
  <si>
    <t>kg</t>
  </si>
  <si>
    <t>稀释糖蜜</t>
  </si>
  <si>
    <t>Wort</t>
  </si>
  <si>
    <t>目标蛋白含量</t>
  </si>
  <si>
    <t xml:space="preserve">Target Protein  </t>
  </si>
  <si>
    <t>57-58</t>
  </si>
  <si>
    <t>%</t>
  </si>
  <si>
    <t>Cane</t>
  </si>
  <si>
    <t>Ammonia [100%]</t>
  </si>
  <si>
    <t>目标P 含量（P2O5)</t>
  </si>
  <si>
    <t xml:space="preserve">Target P2O5  </t>
  </si>
  <si>
    <t>2.8-3.0</t>
  </si>
  <si>
    <t>总氮</t>
  </si>
  <si>
    <t>总磷</t>
  </si>
  <si>
    <t>Beet</t>
  </si>
  <si>
    <t>H3PO4[100%]</t>
  </si>
  <si>
    <t>假定酵母对糖得率</t>
  </si>
  <si>
    <t xml:space="preserve">Assumed Yield  </t>
  </si>
  <si>
    <r>
      <rPr>
        <sz val="10"/>
        <rFont val="Arial"/>
        <charset val="134"/>
      </rPr>
      <t xml:space="preserve">kg Y30 / kg </t>
    </r>
    <r>
      <rPr>
        <sz val="10"/>
        <rFont val="Arial"/>
        <charset val="134"/>
      </rPr>
      <t>R</t>
    </r>
    <r>
      <rPr>
        <sz val="10"/>
        <rFont val="Arial"/>
        <charset val="134"/>
      </rPr>
      <t>S</t>
    </r>
  </si>
  <si>
    <t>Totals  kg</t>
  </si>
  <si>
    <t xml:space="preserve">Average Wort Concentration  </t>
  </si>
  <si>
    <r>
      <rPr>
        <sz val="10"/>
        <rFont val="Arial"/>
        <charset val="134"/>
      </rPr>
      <t xml:space="preserve">kg </t>
    </r>
    <r>
      <rPr>
        <sz val="10"/>
        <rFont val="Arial"/>
        <charset val="134"/>
      </rPr>
      <t>R</t>
    </r>
    <r>
      <rPr>
        <sz val="10"/>
        <rFont val="Arial"/>
        <charset val="134"/>
      </rPr>
      <t>S / kg wort</t>
    </r>
  </si>
  <si>
    <t xml:space="preserve">MAP    /   DAP </t>
  </si>
  <si>
    <t>N 得率（不包含蜜中含氮）</t>
  </si>
  <si>
    <t xml:space="preserve">Assumed NAF  </t>
  </si>
  <si>
    <t>1.0- 1.05</t>
  </si>
  <si>
    <t>NH3 [100%]</t>
  </si>
  <si>
    <t>H3PO4[75%]</t>
  </si>
  <si>
    <t xml:space="preserve">Wort Density  </t>
  </si>
  <si>
    <t>kg/litre</t>
  </si>
  <si>
    <t xml:space="preserve">(NH4)2SO4 </t>
  </si>
  <si>
    <t>P 得率（不包含蜜中含磷）</t>
  </si>
  <si>
    <t xml:space="preserve">Assumed PAF  </t>
  </si>
  <si>
    <t>0.85 -0.95</t>
  </si>
  <si>
    <t>MgSO4</t>
  </si>
  <si>
    <t>FERMENTER</t>
  </si>
  <si>
    <t xml:space="preserve">ZnSO4 </t>
  </si>
  <si>
    <t>START</t>
  </si>
  <si>
    <t xml:space="preserve">Diameter </t>
  </si>
  <si>
    <r>
      <rPr>
        <sz val="10"/>
        <rFont val="Arial"/>
        <charset val="134"/>
      </rPr>
      <t xml:space="preserve">m </t>
    </r>
    <r>
      <rPr>
        <sz val="10"/>
        <rFont val="Microsoft YaHei"/>
        <charset val="134"/>
      </rPr>
      <t>直径</t>
    </r>
  </si>
  <si>
    <t>CuSO4</t>
  </si>
  <si>
    <t>g</t>
  </si>
  <si>
    <r>
      <rPr>
        <sz val="10"/>
        <rFont val="Arial"/>
        <charset val="134"/>
      </rPr>
      <t xml:space="preserve">Assumed Yield on </t>
    </r>
    <r>
      <rPr>
        <sz val="10"/>
        <rFont val="Arial"/>
        <charset val="134"/>
      </rPr>
      <t>R</t>
    </r>
    <r>
      <rPr>
        <sz val="10"/>
        <rFont val="Arial"/>
        <charset val="134"/>
      </rPr>
      <t xml:space="preserve">S  </t>
    </r>
  </si>
  <si>
    <t>kg Y30 / kg FS</t>
  </si>
  <si>
    <t xml:space="preserve">Height </t>
  </si>
  <si>
    <r>
      <rPr>
        <sz val="10"/>
        <rFont val="Arial"/>
        <charset val="134"/>
      </rPr>
      <t xml:space="preserve">m </t>
    </r>
    <r>
      <rPr>
        <sz val="10"/>
        <rFont val="Microsoft YaHei"/>
        <charset val="134"/>
      </rPr>
      <t>高</t>
    </r>
  </si>
  <si>
    <t>CoCl2</t>
  </si>
  <si>
    <t>底蜜</t>
  </si>
  <si>
    <t xml:space="preserve">Wort  </t>
  </si>
  <si>
    <t xml:space="preserve">Cross Section </t>
  </si>
  <si>
    <r>
      <rPr>
        <sz val="10"/>
        <rFont val="Arial"/>
        <charset val="134"/>
      </rPr>
      <t xml:space="preserve">m2 </t>
    </r>
    <r>
      <rPr>
        <sz val="10"/>
        <rFont val="Microsoft YaHei"/>
        <charset val="134"/>
      </rPr>
      <t>底面积</t>
    </r>
  </si>
  <si>
    <t>Na2MoO4.2H20</t>
  </si>
  <si>
    <t>底糖</t>
  </si>
  <si>
    <t xml:space="preserve">RS  </t>
  </si>
  <si>
    <t xml:space="preserve">kg </t>
  </si>
  <si>
    <t xml:space="preserve">Dish Volume </t>
  </si>
  <si>
    <r>
      <rPr>
        <sz val="10"/>
        <rFont val="Arial"/>
        <charset val="134"/>
      </rPr>
      <t xml:space="preserve">m3 </t>
    </r>
    <r>
      <rPr>
        <sz val="10"/>
        <rFont val="Microsoft YaHei"/>
        <charset val="134"/>
      </rPr>
      <t>盘体积</t>
    </r>
  </si>
  <si>
    <t>Thiamine (B1)</t>
  </si>
  <si>
    <t>种子</t>
  </si>
  <si>
    <t xml:space="preserve">Seed Y30  </t>
  </si>
  <si>
    <t xml:space="preserve">External Volumes </t>
  </si>
  <si>
    <t>Ca.Pantothenate  (B5)</t>
  </si>
  <si>
    <r>
      <rPr>
        <sz val="10"/>
        <rFont val="微软雅黑"/>
        <charset val="134"/>
      </rPr>
      <t>种子</t>
    </r>
    <r>
      <rPr>
        <sz val="10"/>
        <rFont val="Arial"/>
        <charset val="134"/>
      </rPr>
      <t>Y30</t>
    </r>
  </si>
  <si>
    <t xml:space="preserve">Assumed Seed Y30 conc  </t>
  </si>
  <si>
    <t>g Y30/lit</t>
  </si>
  <si>
    <t xml:space="preserve">Header &amp; Air Tree Volume </t>
  </si>
  <si>
    <r>
      <rPr>
        <sz val="10"/>
        <rFont val="Arial"/>
        <charset val="134"/>
      </rPr>
      <t xml:space="preserve">m3 </t>
    </r>
    <r>
      <rPr>
        <sz val="10"/>
        <rFont val="Microsoft YaHei"/>
        <charset val="134"/>
      </rPr>
      <t>封头+烟筒体积</t>
    </r>
  </si>
  <si>
    <t>Pyridoxine  (B6)</t>
  </si>
  <si>
    <t>移种时间</t>
  </si>
  <si>
    <t xml:space="preserve">Assumed time for seed transfer   </t>
  </si>
  <si>
    <t>minutes</t>
  </si>
  <si>
    <t xml:space="preserve">Nominal Ferm Volume </t>
  </si>
  <si>
    <r>
      <rPr>
        <sz val="10"/>
        <rFont val="Arial"/>
        <charset val="134"/>
      </rPr>
      <t xml:space="preserve">m3 </t>
    </r>
    <r>
      <rPr>
        <sz val="10"/>
        <rFont val="Microsoft YaHei"/>
        <charset val="134"/>
      </rPr>
      <t>正常发酵体积</t>
    </r>
  </si>
  <si>
    <t xml:space="preserve">Biotin    </t>
  </si>
  <si>
    <t>底水</t>
  </si>
  <si>
    <r>
      <rPr>
        <sz val="10"/>
        <rFont val="Arial"/>
        <charset val="134"/>
      </rPr>
      <t>A</t>
    </r>
    <r>
      <rPr>
        <sz val="10"/>
        <rFont val="Arial"/>
        <charset val="134"/>
      </rPr>
      <t>dditon initial</t>
    </r>
    <r>
      <rPr>
        <sz val="10"/>
        <rFont val="Arial"/>
        <charset val="134"/>
      </rPr>
      <t xml:space="preserve"> Water  </t>
    </r>
  </si>
  <si>
    <t xml:space="preserve">Anti-Foam Probes Level </t>
  </si>
  <si>
    <r>
      <rPr>
        <sz val="10"/>
        <rFont val="Arial"/>
        <charset val="134"/>
      </rPr>
      <t xml:space="preserve">m </t>
    </r>
    <r>
      <rPr>
        <sz val="10"/>
        <rFont val="Microsoft YaHei"/>
        <charset val="134"/>
      </rPr>
      <t>消泡剂探针</t>
    </r>
  </si>
  <si>
    <t xml:space="preserve">H2SO4 </t>
  </si>
  <si>
    <t>初始体积</t>
  </si>
  <si>
    <t xml:space="preserve">DCS Apparent Start Volume (hour 0)  </t>
  </si>
  <si>
    <t xml:space="preserve">Hold-up Volume </t>
  </si>
  <si>
    <r>
      <rPr>
        <sz val="10"/>
        <rFont val="Arial"/>
        <charset val="134"/>
      </rPr>
      <t xml:space="preserve">m3 </t>
    </r>
    <r>
      <rPr>
        <sz val="10"/>
        <rFont val="Microsoft YaHei"/>
        <charset val="134"/>
      </rPr>
      <t>滞留体积</t>
    </r>
  </si>
  <si>
    <t xml:space="preserve">Sod.Hypochlorite </t>
  </si>
  <si>
    <t>结束体积</t>
  </si>
  <si>
    <t xml:space="preserve">DCS Apparent Final Volume  </t>
  </si>
  <si>
    <t xml:space="preserve">Antifoam </t>
  </si>
  <si>
    <t>发酵时间</t>
  </si>
  <si>
    <t xml:space="preserve">Fermentation Time  </t>
  </si>
  <si>
    <t>hours</t>
  </si>
  <si>
    <t>Actual kg or m3 at 1.000 Density</t>
  </si>
  <si>
    <t>NaCl</t>
  </si>
  <si>
    <t>成熟时间</t>
  </si>
  <si>
    <t xml:space="preserve">Maturation Time  </t>
  </si>
  <si>
    <t xml:space="preserve">Set Water </t>
  </si>
  <si>
    <t xml:space="preserve">Nitric acid   </t>
  </si>
  <si>
    <t xml:space="preserve">Start Vol hr 0  </t>
  </si>
  <si>
    <t xml:space="preserve">Projected Cream Output  </t>
  </si>
  <si>
    <t>kg Y30</t>
  </si>
  <si>
    <t xml:space="preserve">Actual Final Vol  </t>
  </si>
  <si>
    <t>Spin Pellet</t>
  </si>
  <si>
    <t>VOLUME  m3                                                                  at 1.000 Density  =  Tonnes</t>
  </si>
  <si>
    <t>% solids</t>
  </si>
  <si>
    <r>
      <rPr>
        <sz val="10"/>
        <rFont val="Arial"/>
        <charset val="134"/>
      </rPr>
      <t>Ammonia</t>
    </r>
    <r>
      <rPr>
        <sz val="10"/>
        <rFont val="宋体"/>
        <charset val="134"/>
      </rPr>
      <t>：</t>
    </r>
    <r>
      <rPr>
        <sz val="10"/>
        <rFont val="Arial"/>
        <charset val="134"/>
      </rPr>
      <t>RS</t>
    </r>
  </si>
  <si>
    <t>SET POINTS</t>
  </si>
  <si>
    <t>ALCOHOL</t>
  </si>
  <si>
    <t>Cell Concentration</t>
  </si>
  <si>
    <t>Total</t>
  </si>
  <si>
    <t>Growth</t>
  </si>
  <si>
    <t>Sugar Feed</t>
  </si>
  <si>
    <r>
      <rPr>
        <b/>
        <sz val="10"/>
        <rFont val="Arial"/>
        <charset val="134"/>
      </rPr>
      <t xml:space="preserve">Ammonia Gas </t>
    </r>
    <r>
      <rPr>
        <sz val="10"/>
        <rFont val="Arial"/>
        <charset val="134"/>
      </rPr>
      <t>[100%]</t>
    </r>
  </si>
  <si>
    <r>
      <rPr>
        <b/>
        <sz val="10"/>
        <rFont val="Arial"/>
        <charset val="134"/>
      </rPr>
      <t xml:space="preserve">Phosphoric Acid </t>
    </r>
    <r>
      <rPr>
        <sz val="10"/>
        <rFont val="Arial"/>
        <charset val="134"/>
      </rPr>
      <t>[60%]</t>
    </r>
  </si>
  <si>
    <t>Nutrient</t>
  </si>
  <si>
    <t>H2SO4
Balance pH</t>
  </si>
  <si>
    <t>Temp</t>
  </si>
  <si>
    <t>AIR</t>
  </si>
  <si>
    <t>pH</t>
  </si>
  <si>
    <t>Action for</t>
  </si>
  <si>
    <t>VOLUME</t>
  </si>
  <si>
    <t>v/v %</t>
  </si>
  <si>
    <t>Apparent</t>
  </si>
  <si>
    <t>Actual</t>
  </si>
  <si>
    <t>Fermenter</t>
  </si>
  <si>
    <t>Modulus</t>
  </si>
  <si>
    <t>Rate</t>
  </si>
  <si>
    <t>BREW HOUR</t>
  </si>
  <si>
    <t>oC</t>
  </si>
  <si>
    <t>m3 / hour</t>
  </si>
  <si>
    <t>pH Control</t>
  </si>
  <si>
    <t>%  FILL</t>
  </si>
  <si>
    <r>
      <rPr>
        <sz val="10"/>
        <rFont val="Arial"/>
        <charset val="134"/>
      </rPr>
      <t>G</t>
    </r>
    <r>
      <rPr>
        <sz val="10"/>
        <rFont val="Arial"/>
        <charset val="134"/>
      </rPr>
      <t>C</t>
    </r>
    <r>
      <rPr>
        <sz val="10"/>
        <rFont val="Arial"/>
        <charset val="134"/>
      </rPr>
      <t xml:space="preserve"> Target</t>
    </r>
  </si>
  <si>
    <t>g as-is/litre</t>
  </si>
  <si>
    <t>g Y30/litre</t>
  </si>
  <si>
    <t>Y30 kg</t>
  </si>
  <si>
    <t>G</t>
  </si>
  <si>
    <r>
      <rPr>
        <sz val="10"/>
        <rFont val="Arial"/>
        <charset val="134"/>
      </rPr>
      <t>kg</t>
    </r>
    <r>
      <rPr>
        <b/>
        <sz val="10"/>
        <rFont val="Arial"/>
        <charset val="134"/>
      </rPr>
      <t xml:space="preserve">  RS / hr</t>
    </r>
  </si>
  <si>
    <r>
      <rPr>
        <b/>
        <sz val="10"/>
        <rFont val="Arial"/>
        <charset val="134"/>
      </rPr>
      <t xml:space="preserve">RS  </t>
    </r>
    <r>
      <rPr>
        <sz val="10"/>
        <rFont val="Arial"/>
        <charset val="134"/>
      </rPr>
      <t>kg</t>
    </r>
  </si>
  <si>
    <t>Wort kg</t>
  </si>
  <si>
    <r>
      <rPr>
        <sz val="10"/>
        <rFont val="Arial"/>
        <charset val="134"/>
      </rPr>
      <t>kg</t>
    </r>
    <r>
      <rPr>
        <b/>
        <sz val="10"/>
        <rFont val="Arial"/>
        <charset val="134"/>
      </rPr>
      <t xml:space="preserve">  NH3 / hr</t>
    </r>
  </si>
  <si>
    <r>
      <rPr>
        <b/>
        <sz val="10"/>
        <rFont val="Arial"/>
        <charset val="134"/>
      </rPr>
      <t xml:space="preserve">NH3  </t>
    </r>
    <r>
      <rPr>
        <sz val="10"/>
        <rFont val="Arial"/>
        <charset val="134"/>
      </rPr>
      <t>kg</t>
    </r>
  </si>
  <si>
    <t>kg / hr</t>
  </si>
  <si>
    <r>
      <rPr>
        <b/>
        <sz val="10"/>
        <rFont val="Arial"/>
        <charset val="134"/>
      </rPr>
      <t xml:space="preserve">H3PO4  </t>
    </r>
    <r>
      <rPr>
        <sz val="10"/>
        <rFont val="Arial"/>
        <charset val="134"/>
      </rPr>
      <t>kg</t>
    </r>
  </si>
  <si>
    <t xml:space="preserve">Start Water </t>
  </si>
  <si>
    <t xml:space="preserve">Inoculum  &gt; </t>
  </si>
  <si>
    <t xml:space="preserve">Set FS  &gt; </t>
  </si>
  <si>
    <t>Start Nutrient</t>
  </si>
  <si>
    <t>start   0</t>
  </si>
  <si>
    <t>0-1</t>
  </si>
  <si>
    <t>1-2</t>
  </si>
  <si>
    <t>2-3</t>
  </si>
  <si>
    <t>3-4</t>
  </si>
  <si>
    <t>4-5</t>
  </si>
  <si>
    <t>5-6</t>
  </si>
  <si>
    <t>6-7</t>
  </si>
  <si>
    <t>Second add.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</si>
  <si>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</si>
  <si>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</si>
  <si>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</si>
  <si>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</si>
  <si>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</si>
  <si>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</si>
  <si>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</si>
  <si>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</si>
  <si>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</si>
  <si>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 xml:space="preserve">Cooling and Separation </t>
  </si>
  <si>
    <t>说明：</t>
  </si>
  <si>
    <t>红色字体区域是发酵添加营养物质的配方，右上方区域</t>
  </si>
  <si>
    <t>浅绿色背景区域是在线或者实验室检测值</t>
  </si>
  <si>
    <t>黄色背景是最关键认为输入值，其他的Ammonia Gas [100%]和Phosphoric Acid [60%] 都是同此按比例添加的</t>
  </si>
  <si>
    <t>蓝色背景的是风机固定值，酵母发酵需要空气（氧气），及其他糖，氮，磷及金属B族维生素等营养。当氧气相对于糖不足是产生酒精，过高的酒精是浪费。</t>
  </si>
  <si>
    <t>suger （糖）的添加是需要现场认为根据情况干预的，希望机器可以替代人的判断给参考值。</t>
  </si>
  <si>
    <t>Lot No.</t>
  </si>
  <si>
    <t>Yield Y30 kg</t>
  </si>
  <si>
    <t>Strain</t>
  </si>
  <si>
    <t>Recipe</t>
  </si>
  <si>
    <t>time</t>
  </si>
  <si>
    <t>Air m3/h</t>
  </si>
  <si>
    <t>Volume</t>
  </si>
  <si>
    <t>Alcohol v/v%</t>
  </si>
  <si>
    <t>Cell gpl</t>
  </si>
  <si>
    <t>GM</t>
  </si>
  <si>
    <t>RS kg/h</t>
  </si>
  <si>
    <t>TFS</t>
  </si>
  <si>
    <t>Remark</t>
  </si>
  <si>
    <t>Alcohol Profile</t>
  </si>
  <si>
    <t>GM profile</t>
  </si>
  <si>
    <t>评价标准</t>
  </si>
  <si>
    <r>
      <rPr>
        <sz val="10"/>
        <rFont val="Arial"/>
        <charset val="134"/>
      </rPr>
      <t xml:space="preserve">1. Yield 30 </t>
    </r>
    <r>
      <rPr>
        <sz val="10"/>
        <rFont val="宋体"/>
        <charset val="134"/>
      </rPr>
      <t>是单罐产量，越高越好。是评价操作好坏的最终标准。已经涂成黄色。</t>
    </r>
  </si>
  <si>
    <r>
      <rPr>
        <sz val="10"/>
        <rFont val="Arial"/>
        <charset val="134"/>
      </rPr>
      <t xml:space="preserve">2. remark </t>
    </r>
    <r>
      <rPr>
        <sz val="10"/>
        <rFont val="宋体"/>
        <charset val="134"/>
      </rPr>
      <t>是我个人对每个小时操作的评价。这个评价标准不好量化，比较复杂：有时侯上个小时操作出现错误，下个小时是在改正，有连贯性。</t>
    </r>
  </si>
  <si>
    <r>
      <rPr>
        <sz val="10"/>
        <rFont val="Arial"/>
        <charset val="134"/>
      </rPr>
      <t xml:space="preserve">3. Alcohol </t>
    </r>
    <r>
      <rPr>
        <sz val="10"/>
        <rFont val="宋体"/>
        <charset val="134"/>
      </rPr>
      <t>和</t>
    </r>
    <r>
      <rPr>
        <sz val="10"/>
        <rFont val="Arial"/>
        <charset val="134"/>
      </rPr>
      <t xml:space="preserve">GM </t>
    </r>
    <r>
      <rPr>
        <sz val="10"/>
        <rFont val="宋体"/>
        <charset val="134"/>
      </rPr>
      <t>标准曲线。如果每个罐的</t>
    </r>
    <r>
      <rPr>
        <sz val="10"/>
        <rFont val="Arial"/>
        <charset val="134"/>
      </rPr>
      <t>Alcohol v/v %</t>
    </r>
    <r>
      <rPr>
        <sz val="10"/>
        <rFont val="宋体"/>
        <charset val="134"/>
      </rPr>
      <t>的趋势越和标准曲线符合，操作的就越好。同样也适合</t>
    </r>
    <r>
      <rPr>
        <sz val="10"/>
        <rFont val="Arial"/>
        <charset val="134"/>
      </rPr>
      <t>GM</t>
    </r>
    <r>
      <rPr>
        <sz val="10"/>
        <rFont val="宋体"/>
        <charset val="134"/>
      </rPr>
      <t>曲线。</t>
    </r>
  </si>
  <si>
    <t>Seed No.</t>
  </si>
  <si>
    <t>Seed m3</t>
  </si>
  <si>
    <t>Diff</t>
  </si>
  <si>
    <t>Seed Y30</t>
  </si>
  <si>
    <t>DeltaAlcohol</t>
  </si>
  <si>
    <t>DeltaGM</t>
  </si>
  <si>
    <t>AutoGM</t>
  </si>
</sst>
</file>

<file path=xl/styles.xml><?xml version="1.0" encoding="utf-8"?>
<styleSheet xmlns="http://schemas.openxmlformats.org/spreadsheetml/2006/main">
  <numFmts count="10">
    <numFmt numFmtId="176" formatCode="0.00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0_ "/>
    <numFmt numFmtId="178" formatCode="0.0_ "/>
    <numFmt numFmtId="179" formatCode="0.00_ "/>
    <numFmt numFmtId="180" formatCode="0.0"/>
    <numFmt numFmtId="181" formatCode="0.000"/>
  </numFmts>
  <fonts count="46">
    <font>
      <sz val="10"/>
      <name val="Arial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rgb="FFFF0000"/>
      <name val="Arial"/>
      <charset val="134"/>
    </font>
    <font>
      <b/>
      <sz val="10"/>
      <name val="微软雅黑"/>
      <charset val="134"/>
    </font>
    <font>
      <sz val="10"/>
      <color theme="1"/>
      <name val="微软雅黑"/>
      <charset val="134"/>
    </font>
    <font>
      <sz val="10.5"/>
      <color rgb="FF060607"/>
      <name val="Helvetica"/>
      <charset val="134"/>
    </font>
    <font>
      <sz val="10"/>
      <color rgb="FF00B050"/>
      <name val="Arial"/>
      <charset val="134"/>
    </font>
    <font>
      <sz val="10"/>
      <color rgb="FF0070C0"/>
      <name val="Arial"/>
      <charset val="134"/>
    </font>
    <font>
      <sz val="10.5"/>
      <color rgb="FF383A42"/>
      <name val="Consolas"/>
      <charset val="134"/>
    </font>
    <font>
      <sz val="10.5"/>
      <color rgb="FFFF0000"/>
      <name val="微软雅黑"/>
      <charset val="134"/>
    </font>
    <font>
      <b/>
      <sz val="10"/>
      <color indexed="12"/>
      <name val="Arial"/>
      <charset val="134"/>
    </font>
    <font>
      <b/>
      <sz val="16"/>
      <color indexed="12"/>
      <name val="Arial"/>
      <charset val="134"/>
    </font>
    <font>
      <b/>
      <sz val="10"/>
      <name val="Arial"/>
      <charset val="134"/>
    </font>
    <font>
      <b/>
      <sz val="9"/>
      <name val="Arial"/>
      <charset val="134"/>
    </font>
    <font>
      <b/>
      <sz val="8"/>
      <name val="Arial"/>
      <charset val="134"/>
    </font>
    <font>
      <sz val="9"/>
      <name val="Arial"/>
      <charset val="134"/>
    </font>
    <font>
      <sz val="11"/>
      <name val="Arial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  <font>
      <sz val="10"/>
      <name val="Microsoft YaHei"/>
      <charset val="134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0" fillId="0" borderId="0" applyFon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8" fillId="24" borderId="29" applyNumberFormat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30" borderId="31" applyNumberFormat="0" applyFon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6" fillId="0" borderId="30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23" borderId="28" applyNumberFormat="0" applyAlignment="0" applyProtection="0">
      <alignment vertical="center"/>
    </xf>
    <xf numFmtId="0" fontId="35" fillId="23" borderId="29" applyNumberFormat="0" applyAlignment="0" applyProtection="0">
      <alignment vertical="center"/>
    </xf>
    <xf numFmtId="0" fontId="38" fillId="35" borderId="33" applyNumberFormat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40" fillId="0" borderId="35" applyNumberFormat="0" applyFill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</cellStyleXfs>
  <cellXfs count="19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0" fontId="1" fillId="0" borderId="0" xfId="0" applyFont="1"/>
    <xf numFmtId="177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1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indent="1"/>
    </xf>
    <xf numFmtId="0" fontId="1" fillId="5" borderId="2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1" fillId="6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0" borderId="0" xfId="0" applyFont="1" applyAlignment="1">
      <alignment horizontal="center" wrapText="1" readingOrder="1"/>
    </xf>
    <xf numFmtId="0" fontId="1" fillId="0" borderId="0" xfId="0" applyFont="1" applyAlignment="1">
      <alignment horizontal="center"/>
    </xf>
    <xf numFmtId="178" fontId="1" fillId="0" borderId="1" xfId="0" applyNumberFormat="1" applyFon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10" fillId="0" borderId="1" xfId="0" applyFont="1" applyBorder="1" applyAlignment="1">
      <alignment horizontal="center" wrapText="1" readingOrder="1"/>
    </xf>
    <xf numFmtId="179" fontId="1" fillId="0" borderId="1" xfId="0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1" xfId="0" applyFill="1" applyBorder="1"/>
    <xf numFmtId="0" fontId="1" fillId="7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79" fontId="2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80" fontId="13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1" fillId="0" borderId="0" xfId="0" applyFont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3" fontId="13" fillId="4" borderId="1" xfId="0" applyNumberFormat="1" applyFont="1" applyFill="1" applyBorder="1" applyAlignment="1">
      <alignment horizontal="center" vertical="center"/>
    </xf>
    <xf numFmtId="180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80" fontId="13" fillId="8" borderId="6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8" fontId="0" fillId="9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9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49" fontId="0" fillId="0" borderId="1" xfId="0" applyNumberFormat="1" applyBorder="1" applyAlignment="1">
      <alignment horizontal="right" vertical="center"/>
    </xf>
    <xf numFmtId="180" fontId="0" fillId="11" borderId="1" xfId="0" applyNumberForma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4" borderId="0" xfId="0" applyFont="1" applyFill="1" applyAlignment="1">
      <alignment horizontal="right" vertical="center"/>
    </xf>
    <xf numFmtId="0" fontId="3" fillId="0" borderId="12" xfId="0" applyFont="1" applyBorder="1" applyAlignment="1">
      <alignment vertical="center"/>
    </xf>
    <xf numFmtId="181" fontId="13" fillId="4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2" fontId="13" fillId="4" borderId="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180" fontId="0" fillId="12" borderId="1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vertical="center"/>
    </xf>
    <xf numFmtId="1" fontId="13" fillId="0" borderId="5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3" fillId="0" borderId="18" xfId="0" applyNumberFormat="1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1" fontId="13" fillId="0" borderId="21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1" fontId="0" fillId="12" borderId="1" xfId="0" applyNumberFormat="1" applyFill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14" borderId="1" xfId="0" applyNumberFormat="1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" fontId="3" fillId="11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2" fontId="3" fillId="14" borderId="1" xfId="0" applyNumberFormat="1" applyFont="1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179" fontId="0" fillId="9" borderId="1" xfId="0" applyNumberFormat="1" applyFill="1" applyBorder="1" applyAlignment="1">
      <alignment horizontal="center" vertical="center"/>
    </xf>
    <xf numFmtId="177" fontId="0" fillId="11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21" fillId="11" borderId="1" xfId="0" applyNumberFormat="1" applyFont="1" applyFill="1" applyBorder="1" applyAlignment="1">
      <alignment horizontal="center" vertical="center"/>
    </xf>
    <xf numFmtId="1" fontId="21" fillId="11" borderId="18" xfId="0" applyNumberFormat="1" applyFont="1" applyFill="1" applyBorder="1" applyAlignment="1">
      <alignment horizontal="center" vertical="center"/>
    </xf>
    <xf numFmtId="1" fontId="3" fillId="11" borderId="18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1" fillId="11" borderId="18" xfId="0" applyFont="1" applyFill="1" applyBorder="1" applyAlignment="1">
      <alignment horizontal="center" vertical="center"/>
    </xf>
    <xf numFmtId="0" fontId="21" fillId="11" borderId="11" xfId="0" applyFont="1" applyFill="1" applyBorder="1" applyAlignment="1">
      <alignment horizontal="center" vertical="center"/>
    </xf>
    <xf numFmtId="0" fontId="21" fillId="11" borderId="21" xfId="0" applyFont="1" applyFill="1" applyBorder="1" applyAlignment="1">
      <alignment horizontal="center" vertical="center"/>
    </xf>
    <xf numFmtId="178" fontId="3" fillId="11" borderId="1" xfId="0" applyNumberFormat="1" applyFont="1" applyFill="1" applyBorder="1" applyAlignment="1">
      <alignment horizontal="center" vertical="center"/>
    </xf>
    <xf numFmtId="180" fontId="3" fillId="0" borderId="25" xfId="0" applyNumberFormat="1" applyFont="1" applyBorder="1" applyAlignment="1">
      <alignment horizontal="center" vertical="center"/>
    </xf>
    <xf numFmtId="177" fontId="3" fillId="11" borderId="1" xfId="0" applyNumberFormat="1" applyFont="1" applyFill="1" applyBorder="1" applyAlignment="1">
      <alignment horizontal="center" vertical="center"/>
    </xf>
    <xf numFmtId="0" fontId="3" fillId="11" borderId="16" xfId="0" applyFont="1" applyFill="1" applyBorder="1" applyAlignment="1">
      <alignment horizontal="center" vertical="center"/>
    </xf>
    <xf numFmtId="0" fontId="3" fillId="11" borderId="2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10" fontId="0" fillId="15" borderId="21" xfId="0" applyNumberFormat="1" applyFill="1" applyBorder="1" applyAlignment="1">
      <alignment horizontal="center" vertical="center"/>
    </xf>
    <xf numFmtId="10" fontId="0" fillId="15" borderId="22" xfId="0" applyNumberFormat="1" applyFill="1" applyBorder="1" applyAlignment="1">
      <alignment horizontal="center" vertical="center"/>
    </xf>
    <xf numFmtId="1" fontId="13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80" fontId="0" fillId="11" borderId="1" xfId="0" applyNumberFormat="1" applyFill="1" applyBorder="1" applyAlignment="1">
      <alignment horizontal="left" vertical="center"/>
    </xf>
    <xf numFmtId="1" fontId="13" fillId="0" borderId="1" xfId="0" applyNumberFormat="1" applyFont="1" applyBorder="1" applyAlignment="1">
      <alignment horizontal="center" vertical="center"/>
    </xf>
    <xf numFmtId="1" fontId="13" fillId="11" borderId="1" xfId="0" applyNumberFormat="1" applyFont="1" applyFill="1" applyBorder="1" applyAlignment="1">
      <alignment horizontal="center" vertical="center"/>
    </xf>
    <xf numFmtId="9" fontId="20" fillId="0" borderId="0" xfId="0" applyNumberFormat="1" applyFont="1" applyAlignment="1">
      <alignment horizontal="left" vertical="top"/>
    </xf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20" fillId="0" borderId="0" xfId="0" applyNumberFormat="1" applyFont="1" applyAlignment="1">
      <alignment horizontal="left" vertical="center"/>
    </xf>
    <xf numFmtId="9" fontId="20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3" fillId="0" borderId="7" xfId="0" applyFont="1" applyBorder="1" applyAlignment="1" quotePrefix="1">
      <alignment horizontal="left" vertical="center"/>
    </xf>
    <xf numFmtId="0" fontId="3" fillId="0" borderId="10" xfId="0" applyFont="1" applyBorder="1" applyAlignment="1" quotePrefix="1">
      <alignment horizontal="left" vertical="center"/>
    </xf>
    <xf numFmtId="0" fontId="0" fillId="0" borderId="0" xfId="0" applyAlignment="1" quotePrefix="1">
      <alignment horizontal="right" vertical="center"/>
    </xf>
    <xf numFmtId="0" fontId="0" fillId="4" borderId="0" xfId="0" applyFill="1" applyAlignment="1" quotePrefix="1">
      <alignment horizontal="left" vertical="center"/>
    </xf>
    <xf numFmtId="0" fontId="3" fillId="0" borderId="13" xfId="0" applyFont="1" applyBorder="1" applyAlignment="1" quotePrefix="1">
      <alignment horizontal="left" vertical="center"/>
    </xf>
    <xf numFmtId="0" fontId="3" fillId="0" borderId="10" xfId="0" applyFont="1" applyBorder="1" applyAlignment="1" quotePrefix="1">
      <alignment vertical="center"/>
    </xf>
    <xf numFmtId="0" fontId="3" fillId="0" borderId="14" xfId="0" applyFont="1" applyBorder="1" applyAlignment="1" quotePrefix="1">
      <alignment horizontal="left" vertical="center"/>
    </xf>
    <xf numFmtId="0" fontId="0" fillId="0" borderId="1" xfId="0" applyBorder="1" applyAlignment="1" quotePrefix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indexed="10"/>
      </font>
    </dxf>
    <dxf>
      <font>
        <color indexed="13"/>
      </font>
      <fill>
        <patternFill patternType="solid"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6" Type="http://schemas.openxmlformats.org/officeDocument/2006/relationships/sharedStrings" Target="sharedStrings.xml"/><Relationship Id="rId65" Type="http://schemas.openxmlformats.org/officeDocument/2006/relationships/styles" Target="styles.xml"/><Relationship Id="rId64" Type="http://schemas.openxmlformats.org/officeDocument/2006/relationships/theme" Target="theme/theme1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485775</xdr:colOff>
      <xdr:row>21</xdr:row>
      <xdr:rowOff>0</xdr:rowOff>
    </xdr:from>
    <xdr:to>
      <xdr:col>14</xdr:col>
      <xdr:colOff>9525</xdr:colOff>
      <xdr:row>21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12916535" y="3829050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21</xdr:row>
      <xdr:rowOff>0</xdr:rowOff>
    </xdr:from>
    <xdr:to>
      <xdr:col>14</xdr:col>
      <xdr:colOff>9525</xdr:colOff>
      <xdr:row>21</xdr:row>
      <xdr:rowOff>0</xdr:rowOff>
    </xdr:to>
    <xdr:sp>
      <xdr:nvSpPr>
        <xdr:cNvPr id="3" name="Line 2"/>
        <xdr:cNvSpPr>
          <a:spLocks noChangeShapeType="1"/>
        </xdr:cNvSpPr>
      </xdr:nvSpPr>
      <xdr:spPr>
        <a:xfrm>
          <a:off x="12916535" y="3829050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21</xdr:row>
      <xdr:rowOff>0</xdr:rowOff>
    </xdr:from>
    <xdr:to>
      <xdr:col>14</xdr:col>
      <xdr:colOff>9525</xdr:colOff>
      <xdr:row>21</xdr:row>
      <xdr:rowOff>0</xdr:rowOff>
    </xdr:to>
    <xdr:sp>
      <xdr:nvSpPr>
        <xdr:cNvPr id="4" name="Line 3"/>
        <xdr:cNvSpPr>
          <a:spLocks noChangeShapeType="1"/>
        </xdr:cNvSpPr>
      </xdr:nvSpPr>
      <xdr:spPr>
        <a:xfrm>
          <a:off x="12916535" y="3829050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21</xdr:row>
      <xdr:rowOff>0</xdr:rowOff>
    </xdr:from>
    <xdr:to>
      <xdr:col>14</xdr:col>
      <xdr:colOff>9525</xdr:colOff>
      <xdr:row>21</xdr:row>
      <xdr:rowOff>0</xdr:rowOff>
    </xdr:to>
    <xdr:sp>
      <xdr:nvSpPr>
        <xdr:cNvPr id="5" name="Line 4"/>
        <xdr:cNvSpPr>
          <a:spLocks noChangeShapeType="1"/>
        </xdr:cNvSpPr>
      </xdr:nvSpPr>
      <xdr:spPr>
        <a:xfrm>
          <a:off x="12916535" y="3829050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6" name="Line 5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7" name="Line 6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8" name="Line 7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9" name="Line 8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10" name="Line 9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11" name="Line 10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12" name="Line 11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13" name="Line 12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14" name="Line 13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15" name="Line 14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16" name="Line 15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17" name="Line 16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18" name="Line 17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19" name="Line 18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20" name="Line 19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21" name="Line 20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21</xdr:row>
      <xdr:rowOff>0</xdr:rowOff>
    </xdr:from>
    <xdr:to>
      <xdr:col>14</xdr:col>
      <xdr:colOff>9525</xdr:colOff>
      <xdr:row>21</xdr:row>
      <xdr:rowOff>0</xdr:rowOff>
    </xdr:to>
    <xdr:sp>
      <xdr:nvSpPr>
        <xdr:cNvPr id="22" name="Line 1"/>
        <xdr:cNvSpPr>
          <a:spLocks noChangeShapeType="1"/>
        </xdr:cNvSpPr>
      </xdr:nvSpPr>
      <xdr:spPr>
        <a:xfrm>
          <a:off x="12916535" y="3829050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21</xdr:row>
      <xdr:rowOff>0</xdr:rowOff>
    </xdr:from>
    <xdr:to>
      <xdr:col>14</xdr:col>
      <xdr:colOff>9525</xdr:colOff>
      <xdr:row>21</xdr:row>
      <xdr:rowOff>0</xdr:rowOff>
    </xdr:to>
    <xdr:sp>
      <xdr:nvSpPr>
        <xdr:cNvPr id="23" name="Line 2"/>
        <xdr:cNvSpPr>
          <a:spLocks noChangeShapeType="1"/>
        </xdr:cNvSpPr>
      </xdr:nvSpPr>
      <xdr:spPr>
        <a:xfrm>
          <a:off x="12916535" y="3829050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21</xdr:row>
      <xdr:rowOff>0</xdr:rowOff>
    </xdr:from>
    <xdr:to>
      <xdr:col>14</xdr:col>
      <xdr:colOff>9525</xdr:colOff>
      <xdr:row>21</xdr:row>
      <xdr:rowOff>0</xdr:rowOff>
    </xdr:to>
    <xdr:sp>
      <xdr:nvSpPr>
        <xdr:cNvPr id="24" name="Line 3"/>
        <xdr:cNvSpPr>
          <a:spLocks noChangeShapeType="1"/>
        </xdr:cNvSpPr>
      </xdr:nvSpPr>
      <xdr:spPr>
        <a:xfrm>
          <a:off x="12916535" y="3829050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21</xdr:row>
      <xdr:rowOff>0</xdr:rowOff>
    </xdr:from>
    <xdr:to>
      <xdr:col>14</xdr:col>
      <xdr:colOff>9525</xdr:colOff>
      <xdr:row>21</xdr:row>
      <xdr:rowOff>0</xdr:rowOff>
    </xdr:to>
    <xdr:sp>
      <xdr:nvSpPr>
        <xdr:cNvPr id="25" name="Line 4"/>
        <xdr:cNvSpPr>
          <a:spLocks noChangeShapeType="1"/>
        </xdr:cNvSpPr>
      </xdr:nvSpPr>
      <xdr:spPr>
        <a:xfrm>
          <a:off x="12916535" y="3829050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26" name="Line 5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27" name="Line 6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28" name="Line 7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29" name="Line 8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30" name="Line 9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31" name="Line 10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32" name="Line 11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33" name="Line 12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34" name="Line 13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35" name="Line 14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36" name="Line 15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37" name="Line 16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38" name="Line 17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39" name="Line 18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40" name="Line 19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13</xdr:col>
      <xdr:colOff>485775</xdr:colOff>
      <xdr:row>22</xdr:row>
      <xdr:rowOff>0</xdr:rowOff>
    </xdr:from>
    <xdr:to>
      <xdr:col>14</xdr:col>
      <xdr:colOff>9525</xdr:colOff>
      <xdr:row>22</xdr:row>
      <xdr:rowOff>0</xdr:rowOff>
    </xdr:to>
    <xdr:sp>
      <xdr:nvSpPr>
        <xdr:cNvPr id="41" name="Line 20"/>
        <xdr:cNvSpPr>
          <a:spLocks noChangeShapeType="1"/>
        </xdr:cNvSpPr>
      </xdr:nvSpPr>
      <xdr:spPr>
        <a:xfrm>
          <a:off x="12916535" y="4004945"/>
          <a:ext cx="5543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R84"/>
  <sheetViews>
    <sheetView topLeftCell="A24" workbookViewId="0">
      <selection activeCell="G6" sqref="G6"/>
    </sheetView>
  </sheetViews>
  <sheetFormatPr defaultColWidth="9.08849557522124" defaultRowHeight="12.75"/>
  <cols>
    <col min="1" max="1" width="13.2654867256637" style="39" customWidth="1"/>
    <col min="2" max="2" width="17.4513274336283" style="39" customWidth="1"/>
    <col min="3" max="3" width="11.0884955752212" style="39" customWidth="1"/>
    <col min="4" max="4" width="11" style="39" customWidth="1"/>
    <col min="5" max="5" width="11.4513274336283" style="39" customWidth="1"/>
    <col min="6" max="6" width="14" style="39" customWidth="1"/>
    <col min="7" max="7" width="15.0884955752212" style="39" customWidth="1"/>
    <col min="8" max="8" width="13" style="39" customWidth="1"/>
    <col min="9" max="9" width="13.5398230088496" style="39" customWidth="1"/>
    <col min="10" max="10" width="14.0884955752212" style="39" customWidth="1"/>
    <col min="11" max="12" width="14.3628318584071" style="39" customWidth="1"/>
    <col min="13" max="13" width="10.5398230088496" style="39" customWidth="1"/>
    <col min="14" max="14" width="14.3628318584071" style="39" customWidth="1"/>
    <col min="15" max="15" width="11.3628318584071" style="39" customWidth="1"/>
    <col min="16" max="16" width="11.3628318584071" style="40" customWidth="1"/>
    <col min="17" max="18" width="11.5398230088496" style="39" customWidth="1"/>
    <col min="19" max="19" width="12.5398230088496" style="41" customWidth="1"/>
    <col min="20" max="20" width="13" style="41" customWidth="1"/>
    <col min="21" max="21" width="12.3628318584071" style="41" customWidth="1"/>
    <col min="22" max="22" width="11.9026548672566" style="41" customWidth="1"/>
    <col min="23" max="23" width="11.4513274336283" style="39" customWidth="1"/>
    <col min="24" max="24" width="14.4513274336283" style="40" customWidth="1"/>
    <col min="25" max="26" width="9.08849557522124" style="40"/>
    <col min="27" max="27" width="11.5398230088496" style="39" customWidth="1"/>
    <col min="28" max="28" width="10.3628318584071" style="39" customWidth="1"/>
    <col min="29" max="29" width="11.9026548672566" style="39" customWidth="1"/>
    <col min="30" max="33" width="9.08849557522124" style="39"/>
    <col min="34" max="36" width="12" style="39" customWidth="1"/>
    <col min="37" max="37" width="5.36283185840708" style="39" customWidth="1"/>
    <col min="38" max="38" width="9.08849557522124" style="39"/>
    <col min="39" max="40" width="12" style="39" customWidth="1"/>
    <col min="41" max="41" width="11.9026548672566" style="39" customWidth="1"/>
    <col min="42" max="42" width="11.5398230088496" style="39" customWidth="1"/>
    <col min="43" max="43" width="10.0884955752212" style="39" customWidth="1"/>
    <col min="44" max="16384" width="9.08849557522124" style="39"/>
  </cols>
  <sheetData>
    <row r="1" spans="2:26">
      <c r="B1" s="42" t="s">
        <v>0</v>
      </c>
      <c r="Z1" s="39"/>
    </row>
    <row r="2" ht="21.35" spans="2:26">
      <c r="B2" s="43">
        <v>41961</v>
      </c>
      <c r="F2" s="44" t="s">
        <v>1</v>
      </c>
      <c r="J2" s="91"/>
      <c r="P2" s="39"/>
      <c r="S2" s="99"/>
      <c r="T2" s="99"/>
      <c r="U2" s="146"/>
      <c r="V2" s="39"/>
      <c r="W2" s="146"/>
      <c r="Z2" s="39"/>
    </row>
    <row r="3" ht="20.6" spans="2:26">
      <c r="B3" s="45"/>
      <c r="G3" s="44"/>
      <c r="J3" s="91"/>
      <c r="N3" s="193" t="s">
        <v>2</v>
      </c>
      <c r="O3" s="93"/>
      <c r="P3" s="94" t="s">
        <v>3</v>
      </c>
      <c r="Q3" s="94" t="s">
        <v>4</v>
      </c>
      <c r="R3" s="156" t="s">
        <v>5</v>
      </c>
      <c r="S3" s="94"/>
      <c r="T3" s="94" t="s">
        <v>6</v>
      </c>
      <c r="U3" s="157" t="s">
        <v>7</v>
      </c>
      <c r="V3" s="39"/>
      <c r="W3" s="146"/>
      <c r="Z3" s="39"/>
    </row>
    <row r="4" spans="14:26">
      <c r="N4" s="194" t="s">
        <v>8</v>
      </c>
      <c r="O4" s="96"/>
      <c r="P4" s="97"/>
      <c r="Q4" s="158">
        <f>E20</f>
        <v>50</v>
      </c>
      <c r="R4" s="159"/>
      <c r="S4" s="160"/>
      <c r="T4" s="160"/>
      <c r="U4" s="161">
        <f>Q4</f>
        <v>50</v>
      </c>
      <c r="V4" s="39" t="s">
        <v>9</v>
      </c>
      <c r="Z4" s="39"/>
    </row>
    <row r="5" ht="13.1" spans="5:22">
      <c r="E5" s="46" t="s">
        <v>10</v>
      </c>
      <c r="N5" s="194" t="s">
        <v>11</v>
      </c>
      <c r="O5" s="98"/>
      <c r="P5" s="97"/>
      <c r="Q5" s="162">
        <v>250</v>
      </c>
      <c r="R5" s="163">
        <v>14750</v>
      </c>
      <c r="S5" s="160"/>
      <c r="T5" s="160"/>
      <c r="U5" s="161">
        <f>SUM(Q5:R5)</f>
        <v>15000</v>
      </c>
      <c r="V5" s="39" t="s">
        <v>12</v>
      </c>
    </row>
    <row r="6" ht="13.85" spans="10:22">
      <c r="J6" s="47" t="s">
        <v>13</v>
      </c>
      <c r="K6" s="99" t="s">
        <v>6</v>
      </c>
      <c r="N6" s="95" t="s">
        <v>14</v>
      </c>
      <c r="O6" s="98"/>
      <c r="P6" s="97"/>
      <c r="Q6" s="140">
        <f>Q5/K9</f>
        <v>714.285714285714</v>
      </c>
      <c r="R6" s="164">
        <f>R5/K9</f>
        <v>42142.8571428571</v>
      </c>
      <c r="S6" s="160"/>
      <c r="T6" s="160"/>
      <c r="U6" s="161">
        <f>SUM(Q6:R6)</f>
        <v>42857.1428571429</v>
      </c>
      <c r="V6" s="39" t="s">
        <v>12</v>
      </c>
    </row>
    <row r="7" ht="13.85" spans="2:22">
      <c r="B7" s="47" t="s">
        <v>15</v>
      </c>
      <c r="D7" s="48" t="s">
        <v>16</v>
      </c>
      <c r="E7" s="49" t="s">
        <v>17</v>
      </c>
      <c r="F7" s="50" t="s">
        <v>18</v>
      </c>
      <c r="J7" s="100" t="s">
        <v>19</v>
      </c>
      <c r="K7" s="55">
        <v>0</v>
      </c>
      <c r="L7" s="50" t="s">
        <v>18</v>
      </c>
      <c r="N7" s="95" t="s">
        <v>20</v>
      </c>
      <c r="O7" s="101"/>
      <c r="P7" s="97"/>
      <c r="Q7" s="165"/>
      <c r="R7" s="166"/>
      <c r="S7" s="162">
        <v>800</v>
      </c>
      <c r="T7" s="160"/>
      <c r="U7" s="161">
        <f>SUM(Q7:S7)</f>
        <v>800</v>
      </c>
      <c r="V7" s="39" t="s">
        <v>12</v>
      </c>
    </row>
    <row r="8" ht="13.85" spans="2:22">
      <c r="B8" s="47" t="s">
        <v>21</v>
      </c>
      <c r="D8" s="48" t="s">
        <v>22</v>
      </c>
      <c r="E8" s="49" t="s">
        <v>23</v>
      </c>
      <c r="F8" s="50" t="s">
        <v>18</v>
      </c>
      <c r="G8" s="51" t="s">
        <v>24</v>
      </c>
      <c r="H8" s="51" t="s">
        <v>25</v>
      </c>
      <c r="J8" s="100" t="s">
        <v>26</v>
      </c>
      <c r="K8" s="55">
        <v>100</v>
      </c>
      <c r="L8" s="50" t="s">
        <v>18</v>
      </c>
      <c r="N8" s="95" t="s">
        <v>27</v>
      </c>
      <c r="O8" s="101"/>
      <c r="P8" s="97"/>
      <c r="Q8" s="165"/>
      <c r="R8" s="167"/>
      <c r="S8" s="162">
        <v>420</v>
      </c>
      <c r="T8" s="160"/>
      <c r="U8" s="161">
        <f>SUM(Q8:S8)</f>
        <v>420</v>
      </c>
      <c r="V8" s="39" t="s">
        <v>12</v>
      </c>
    </row>
    <row r="9" ht="13.85" spans="2:22">
      <c r="B9" s="47" t="s">
        <v>28</v>
      </c>
      <c r="D9" s="195" t="s">
        <v>29</v>
      </c>
      <c r="E9" s="52">
        <v>1.55</v>
      </c>
      <c r="F9" s="196" t="s">
        <v>30</v>
      </c>
      <c r="G9" s="54" t="s">
        <v>31</v>
      </c>
      <c r="H9" s="54"/>
      <c r="I9" s="50"/>
      <c r="J9" s="62" t="s">
        <v>32</v>
      </c>
      <c r="K9" s="102">
        <v>0.35</v>
      </c>
      <c r="L9" s="196" t="s">
        <v>33</v>
      </c>
      <c r="N9" s="194" t="s">
        <v>34</v>
      </c>
      <c r="O9" s="103"/>
      <c r="P9" s="97"/>
      <c r="Q9" s="165"/>
      <c r="R9" s="168"/>
      <c r="S9" s="160"/>
      <c r="T9" s="160"/>
      <c r="U9" s="161">
        <f>SUM(Q9:R9)</f>
        <v>0</v>
      </c>
      <c r="V9" s="39" t="s">
        <v>12</v>
      </c>
    </row>
    <row r="10" ht="13.85" spans="2:22">
      <c r="B10" s="47" t="s">
        <v>35</v>
      </c>
      <c r="D10" s="48" t="s">
        <v>36</v>
      </c>
      <c r="E10" s="52" t="s">
        <v>37</v>
      </c>
      <c r="F10" s="50"/>
      <c r="G10" s="54" t="s">
        <v>38</v>
      </c>
      <c r="H10" s="54" t="s">
        <v>39</v>
      </c>
      <c r="J10" s="62" t="s">
        <v>40</v>
      </c>
      <c r="K10" s="58">
        <v>1.24</v>
      </c>
      <c r="L10" s="50" t="s">
        <v>41</v>
      </c>
      <c r="N10" s="197" t="s">
        <v>42</v>
      </c>
      <c r="O10" s="96"/>
      <c r="P10" s="97"/>
      <c r="Q10" s="165"/>
      <c r="R10" s="166"/>
      <c r="S10" s="160"/>
      <c r="T10" s="160"/>
      <c r="U10" s="161">
        <f>SUM(Q10:R10)</f>
        <v>0</v>
      </c>
      <c r="V10" s="39" t="s">
        <v>12</v>
      </c>
    </row>
    <row r="11" ht="13.85" spans="2:22">
      <c r="B11" s="47" t="s">
        <v>43</v>
      </c>
      <c r="D11" s="48" t="s">
        <v>44</v>
      </c>
      <c r="E11" s="52" t="s">
        <v>45</v>
      </c>
      <c r="F11" s="50"/>
      <c r="G11" s="55">
        <v>800</v>
      </c>
      <c r="H11" s="55">
        <v>420</v>
      </c>
      <c r="J11" s="50"/>
      <c r="K11" s="50"/>
      <c r="L11" s="50"/>
      <c r="N11" s="194" t="s">
        <v>46</v>
      </c>
      <c r="O11" s="103"/>
      <c r="P11" s="97"/>
      <c r="Q11" s="165">
        <v>25</v>
      </c>
      <c r="R11" s="159">
        <v>75</v>
      </c>
      <c r="S11" s="160"/>
      <c r="T11" s="160"/>
      <c r="U11" s="161">
        <f>SUM(Q11:T11)</f>
        <v>100</v>
      </c>
      <c r="V11" s="39" t="s">
        <v>12</v>
      </c>
    </row>
    <row r="12" spans="5:22">
      <c r="E12" s="50"/>
      <c r="F12" s="50"/>
      <c r="J12" s="50"/>
      <c r="K12" s="56" t="s">
        <v>47</v>
      </c>
      <c r="L12" s="50"/>
      <c r="N12" s="194" t="s">
        <v>48</v>
      </c>
      <c r="O12" s="103"/>
      <c r="P12" s="97"/>
      <c r="Q12" s="169">
        <v>5</v>
      </c>
      <c r="R12" s="159"/>
      <c r="S12" s="160"/>
      <c r="T12" s="160"/>
      <c r="U12" s="170">
        <f>SUM(Q12:T12)</f>
        <v>5</v>
      </c>
      <c r="V12" s="39" t="s">
        <v>12</v>
      </c>
    </row>
    <row r="13" ht="13.9" spans="4:22">
      <c r="D13" s="48"/>
      <c r="E13" s="56" t="s">
        <v>49</v>
      </c>
      <c r="F13" s="56" t="s">
        <v>7</v>
      </c>
      <c r="J13" s="62" t="s">
        <v>50</v>
      </c>
      <c r="K13" s="49">
        <v>4</v>
      </c>
      <c r="L13" s="50" t="s">
        <v>51</v>
      </c>
      <c r="N13" s="194" t="s">
        <v>52</v>
      </c>
      <c r="O13" s="103"/>
      <c r="P13" s="97"/>
      <c r="Q13" s="165">
        <v>50</v>
      </c>
      <c r="R13" s="159">
        <v>130</v>
      </c>
      <c r="S13" s="160"/>
      <c r="T13" s="160"/>
      <c r="U13" s="161">
        <f>SUM(Q13:R13)</f>
        <v>180</v>
      </c>
      <c r="V13" s="39" t="s">
        <v>53</v>
      </c>
    </row>
    <row r="14" ht="13.9" spans="4:22">
      <c r="D14" s="48" t="s">
        <v>54</v>
      </c>
      <c r="E14" s="52"/>
      <c r="F14" s="52">
        <f>1.55</f>
        <v>1.55</v>
      </c>
      <c r="G14" s="39" t="s">
        <v>55</v>
      </c>
      <c r="J14" s="62" t="s">
        <v>56</v>
      </c>
      <c r="K14" s="49">
        <v>12</v>
      </c>
      <c r="L14" s="50" t="s">
        <v>57</v>
      </c>
      <c r="N14" s="95" t="s">
        <v>58</v>
      </c>
      <c r="O14" s="103"/>
      <c r="P14" s="97"/>
      <c r="Q14" s="165"/>
      <c r="R14" s="159"/>
      <c r="S14" s="160"/>
      <c r="T14" s="160"/>
      <c r="U14" s="161">
        <f>SUM(Q14:R14)</f>
        <v>0</v>
      </c>
      <c r="V14" s="39" t="s">
        <v>53</v>
      </c>
    </row>
    <row r="15" ht="13.9" spans="1:22">
      <c r="A15" s="47"/>
      <c r="B15" s="47" t="s">
        <v>59</v>
      </c>
      <c r="D15" s="48" t="s">
        <v>60</v>
      </c>
      <c r="E15" s="57">
        <f>E16/$K$9</f>
        <v>714.285714285714</v>
      </c>
      <c r="F15" s="57">
        <f>F16/$K$9</f>
        <v>42857.1428571429</v>
      </c>
      <c r="G15" s="39" t="s">
        <v>12</v>
      </c>
      <c r="J15" s="62" t="s">
        <v>61</v>
      </c>
      <c r="K15" s="52">
        <f>PI()*K13^2/4</f>
        <v>12.5663706143592</v>
      </c>
      <c r="L15" s="50" t="s">
        <v>62</v>
      </c>
      <c r="N15" s="95" t="s">
        <v>63</v>
      </c>
      <c r="O15" s="103"/>
      <c r="P15" s="97"/>
      <c r="Q15" s="165"/>
      <c r="R15" s="159"/>
      <c r="S15" s="160"/>
      <c r="T15" s="160"/>
      <c r="U15" s="161">
        <f>SUM(Q15:R15)</f>
        <v>0</v>
      </c>
      <c r="V15" s="39" t="s">
        <v>53</v>
      </c>
    </row>
    <row r="16" ht="13.9" spans="1:22">
      <c r="A16" s="47"/>
      <c r="B16" s="47" t="s">
        <v>64</v>
      </c>
      <c r="D16" s="48" t="s">
        <v>65</v>
      </c>
      <c r="E16" s="55">
        <v>250</v>
      </c>
      <c r="F16" s="58">
        <v>15000</v>
      </c>
      <c r="G16" s="39" t="s">
        <v>66</v>
      </c>
      <c r="J16" s="62" t="s">
        <v>67</v>
      </c>
      <c r="K16" s="105">
        <v>0</v>
      </c>
      <c r="L16" s="50" t="s">
        <v>68</v>
      </c>
      <c r="N16" s="106" t="s">
        <v>69</v>
      </c>
      <c r="O16" s="96"/>
      <c r="P16" s="97"/>
      <c r="Q16" s="171">
        <v>1500</v>
      </c>
      <c r="R16" s="159"/>
      <c r="S16" s="160"/>
      <c r="T16" s="160"/>
      <c r="U16" s="161">
        <f>SUM(Q16:R16)</f>
        <v>1500</v>
      </c>
      <c r="V16" s="39" t="s">
        <v>53</v>
      </c>
    </row>
    <row r="17" ht="13.9" spans="1:22">
      <c r="A17" s="47"/>
      <c r="B17" s="47" t="s">
        <v>70</v>
      </c>
      <c r="D17" s="195" t="s">
        <v>71</v>
      </c>
      <c r="E17" s="58">
        <v>4000</v>
      </c>
      <c r="F17" s="59"/>
      <c r="G17" s="39" t="s">
        <v>12</v>
      </c>
      <c r="I17" s="50"/>
      <c r="J17" s="62" t="s">
        <v>72</v>
      </c>
      <c r="K17" s="49">
        <v>1</v>
      </c>
      <c r="L17" s="50" t="s">
        <v>68</v>
      </c>
      <c r="N17" s="194" t="s">
        <v>73</v>
      </c>
      <c r="O17" s="96"/>
      <c r="P17" s="97"/>
      <c r="Q17" s="165">
        <v>500</v>
      </c>
      <c r="R17" s="159">
        <v>2000</v>
      </c>
      <c r="S17" s="165"/>
      <c r="T17" s="160"/>
      <c r="U17" s="161">
        <f>SUM(Q17:S17)</f>
        <v>2500</v>
      </c>
      <c r="V17" s="39" t="s">
        <v>53</v>
      </c>
    </row>
    <row r="18" ht="13.9" spans="1:22">
      <c r="A18" s="47"/>
      <c r="B18" s="47" t="s">
        <v>74</v>
      </c>
      <c r="D18" s="195" t="s">
        <v>75</v>
      </c>
      <c r="E18" s="54">
        <v>680</v>
      </c>
      <c r="F18" s="59"/>
      <c r="G18" s="39" t="s">
        <v>76</v>
      </c>
      <c r="I18" s="50"/>
      <c r="J18" s="62" t="s">
        <v>77</v>
      </c>
      <c r="K18" s="105">
        <v>0.5</v>
      </c>
      <c r="L18" s="50" t="s">
        <v>78</v>
      </c>
      <c r="N18" s="106" t="s">
        <v>79</v>
      </c>
      <c r="O18" s="96"/>
      <c r="P18" s="97"/>
      <c r="Q18" s="165">
        <v>800</v>
      </c>
      <c r="R18" s="159"/>
      <c r="S18" s="160"/>
      <c r="T18" s="160"/>
      <c r="U18" s="161">
        <f>SUM(Q18:R18)</f>
        <v>800</v>
      </c>
      <c r="V18" s="39" t="s">
        <v>53</v>
      </c>
    </row>
    <row r="19" ht="13.9" spans="1:22">
      <c r="A19" s="47" t="s">
        <v>80</v>
      </c>
      <c r="B19" s="47"/>
      <c r="D19" s="195" t="s">
        <v>81</v>
      </c>
      <c r="E19" s="54">
        <v>20</v>
      </c>
      <c r="F19" s="59"/>
      <c r="G19" s="39" t="s">
        <v>82</v>
      </c>
      <c r="I19" s="50"/>
      <c r="J19" s="62" t="s">
        <v>83</v>
      </c>
      <c r="K19" s="57">
        <f>K14*K15+K16+K17-K18</f>
        <v>151.29644737231</v>
      </c>
      <c r="L19" s="50" t="s">
        <v>84</v>
      </c>
      <c r="N19" s="194" t="s">
        <v>85</v>
      </c>
      <c r="O19" s="96"/>
      <c r="P19" s="97"/>
      <c r="Q19" s="169">
        <v>25</v>
      </c>
      <c r="R19" s="159"/>
      <c r="S19" s="160"/>
      <c r="T19" s="160"/>
      <c r="U19" s="161">
        <f>SUM(Q19:R19)</f>
        <v>25</v>
      </c>
      <c r="V19" s="39" t="s">
        <v>53</v>
      </c>
    </row>
    <row r="20" ht="13.9" spans="1:22">
      <c r="A20" s="47" t="s">
        <v>86</v>
      </c>
      <c r="B20" s="47"/>
      <c r="D20" s="48" t="s">
        <v>87</v>
      </c>
      <c r="E20" s="60">
        <v>50</v>
      </c>
      <c r="F20" s="59"/>
      <c r="G20" s="39" t="s">
        <v>9</v>
      </c>
      <c r="I20" s="50"/>
      <c r="J20" s="62" t="s">
        <v>88</v>
      </c>
      <c r="K20" s="49">
        <v>1.5</v>
      </c>
      <c r="L20" s="50" t="s">
        <v>89</v>
      </c>
      <c r="N20" s="194" t="s">
        <v>90</v>
      </c>
      <c r="O20" s="103"/>
      <c r="P20" s="97"/>
      <c r="Q20" s="165"/>
      <c r="R20" s="159"/>
      <c r="S20" s="160"/>
      <c r="T20" s="160"/>
      <c r="U20" s="161">
        <f>SUM(Q20:S20)</f>
        <v>0</v>
      </c>
      <c r="V20" s="39" t="s">
        <v>12</v>
      </c>
    </row>
    <row r="21" ht="13.9" spans="1:22">
      <c r="A21" s="47" t="s">
        <v>91</v>
      </c>
      <c r="B21" s="47"/>
      <c r="D21" s="48" t="s">
        <v>92</v>
      </c>
      <c r="E21" s="60">
        <v>57700</v>
      </c>
      <c r="F21" s="59"/>
      <c r="G21" s="39" t="s">
        <v>9</v>
      </c>
      <c r="I21" s="50"/>
      <c r="J21" s="62" t="s">
        <v>93</v>
      </c>
      <c r="K21" s="61">
        <f>K15*(K14-K20)+K16+K17</f>
        <v>132.946891450771</v>
      </c>
      <c r="L21" s="50" t="s">
        <v>94</v>
      </c>
      <c r="N21" s="198" t="s">
        <v>95</v>
      </c>
      <c r="O21" s="96"/>
      <c r="P21" s="97"/>
      <c r="Q21" s="165"/>
      <c r="R21" s="159"/>
      <c r="S21" s="160"/>
      <c r="T21" s="160"/>
      <c r="U21" s="161">
        <f>SUM(Q21:R21)</f>
        <v>0</v>
      </c>
      <c r="V21" s="39" t="s">
        <v>9</v>
      </c>
    </row>
    <row r="22" ht="13.85" spans="1:22">
      <c r="A22" s="47" t="s">
        <v>96</v>
      </c>
      <c r="B22" s="47"/>
      <c r="D22" s="48" t="s">
        <v>97</v>
      </c>
      <c r="E22" s="60">
        <v>99800</v>
      </c>
      <c r="F22" s="54"/>
      <c r="G22" s="39" t="s">
        <v>9</v>
      </c>
      <c r="I22" s="50"/>
      <c r="J22" s="50"/>
      <c r="K22" s="50"/>
      <c r="L22" s="50"/>
      <c r="N22" s="198" t="s">
        <v>98</v>
      </c>
      <c r="O22" s="96"/>
      <c r="P22" s="97"/>
      <c r="Q22" s="165"/>
      <c r="R22" s="159"/>
      <c r="S22" s="160"/>
      <c r="T22" s="160"/>
      <c r="U22" s="161">
        <f>SUM(Q22:R22)</f>
        <v>0</v>
      </c>
      <c r="V22" s="39" t="s">
        <v>9</v>
      </c>
    </row>
    <row r="23" ht="13.85" spans="1:26">
      <c r="A23" s="47"/>
      <c r="B23" s="47" t="s">
        <v>99</v>
      </c>
      <c r="D23" s="48" t="s">
        <v>100</v>
      </c>
      <c r="E23" s="54"/>
      <c r="F23" s="61">
        <v>16</v>
      </c>
      <c r="G23" s="39" t="s">
        <v>101</v>
      </c>
      <c r="I23" s="50"/>
      <c r="J23" s="50"/>
      <c r="K23" s="56" t="s">
        <v>102</v>
      </c>
      <c r="L23" s="50"/>
      <c r="N23" s="106" t="s">
        <v>103</v>
      </c>
      <c r="O23" s="96"/>
      <c r="P23" s="97"/>
      <c r="Q23" s="165"/>
      <c r="R23" s="159"/>
      <c r="S23" s="160"/>
      <c r="T23" s="160"/>
      <c r="U23" s="161">
        <f>SUM(Q23:R23)</f>
        <v>0</v>
      </c>
      <c r="V23" s="39" t="s">
        <v>12</v>
      </c>
      <c r="Z23" s="39"/>
    </row>
    <row r="24" ht="14.6" spans="1:26">
      <c r="A24" s="47"/>
      <c r="B24" s="47" t="s">
        <v>104</v>
      </c>
      <c r="D24" s="48" t="s">
        <v>105</v>
      </c>
      <c r="E24" s="54"/>
      <c r="F24" s="54">
        <v>40</v>
      </c>
      <c r="G24" s="39" t="s">
        <v>82</v>
      </c>
      <c r="I24" s="50"/>
      <c r="J24" s="62" t="s">
        <v>106</v>
      </c>
      <c r="K24" s="60">
        <v>50000</v>
      </c>
      <c r="L24" s="50" t="s">
        <v>12</v>
      </c>
      <c r="N24" s="199" t="s">
        <v>107</v>
      </c>
      <c r="O24" s="108"/>
      <c r="P24" s="109"/>
      <c r="Q24" s="172"/>
      <c r="R24" s="173"/>
      <c r="S24" s="174"/>
      <c r="T24" s="174"/>
      <c r="U24" s="175"/>
      <c r="V24" s="39" t="s">
        <v>9</v>
      </c>
      <c r="Z24" s="39"/>
    </row>
    <row r="25" ht="13.1" spans="5:12">
      <c r="E25" s="50"/>
      <c r="F25" s="50"/>
      <c r="I25" s="50"/>
      <c r="J25" s="62" t="s">
        <v>108</v>
      </c>
      <c r="K25" s="60">
        <v>53000</v>
      </c>
      <c r="L25" s="50" t="s">
        <v>12</v>
      </c>
    </row>
    <row r="26" ht="13.1" spans="5:13">
      <c r="E26" s="62" t="s">
        <v>109</v>
      </c>
      <c r="F26" s="60">
        <f>F16*E9+E17</f>
        <v>27250</v>
      </c>
      <c r="G26" s="39" t="s">
        <v>110</v>
      </c>
      <c r="I26" s="62"/>
      <c r="J26" s="62" t="s">
        <v>111</v>
      </c>
      <c r="K26" s="60">
        <v>99800</v>
      </c>
      <c r="L26" s="50" t="s">
        <v>12</v>
      </c>
      <c r="M26" s="40" t="s">
        <v>112</v>
      </c>
    </row>
    <row r="27" spans="8:28">
      <c r="H27" s="63" t="s">
        <v>113</v>
      </c>
      <c r="I27" s="50"/>
      <c r="J27" s="50"/>
      <c r="K27" s="50"/>
      <c r="L27" s="50"/>
      <c r="M27" s="110">
        <v>28.5</v>
      </c>
      <c r="N27" s="39" t="s">
        <v>114</v>
      </c>
      <c r="Q27" s="40"/>
      <c r="R27" s="40"/>
      <c r="S27" s="176" t="s">
        <v>115</v>
      </c>
      <c r="T27" s="177"/>
      <c r="W27" s="41"/>
      <c r="X27" s="41"/>
      <c r="Y27" s="39"/>
      <c r="AA27" s="40"/>
      <c r="AB27" s="40"/>
    </row>
    <row r="28" ht="14.25" customHeight="1" spans="8:20">
      <c r="H28" s="64"/>
      <c r="I28" s="56"/>
      <c r="J28" s="50"/>
      <c r="K28" s="50"/>
      <c r="L28" s="50"/>
      <c r="O28" s="40"/>
      <c r="P28" s="39"/>
      <c r="S28" s="178">
        <v>0.057</v>
      </c>
      <c r="T28" s="179"/>
    </row>
    <row r="29" ht="15.9" customHeight="1" spans="4:26">
      <c r="D29" s="39" t="s">
        <v>116</v>
      </c>
      <c r="H29" s="64"/>
      <c r="I29" s="50"/>
      <c r="J29" s="67" t="s">
        <v>117</v>
      </c>
      <c r="K29" s="69" t="s">
        <v>118</v>
      </c>
      <c r="L29" s="111"/>
      <c r="M29" s="112" t="s">
        <v>119</v>
      </c>
      <c r="N29" s="113" t="s">
        <v>120</v>
      </c>
      <c r="O29" s="114" t="s">
        <v>121</v>
      </c>
      <c r="P29" s="115"/>
      <c r="Q29" s="180"/>
      <c r="R29" s="114" t="s">
        <v>122</v>
      </c>
      <c r="S29" s="180"/>
      <c r="T29" s="114" t="s">
        <v>123</v>
      </c>
      <c r="U29" s="180"/>
      <c r="V29" s="113" t="s">
        <v>124</v>
      </c>
      <c r="W29" s="86" t="s">
        <v>125</v>
      </c>
      <c r="Z29" s="39"/>
    </row>
    <row r="30" ht="15.9" customHeight="1" spans="2:26">
      <c r="B30" s="65"/>
      <c r="C30" s="65"/>
      <c r="D30" s="66" t="s">
        <v>126</v>
      </c>
      <c r="E30" s="67" t="s">
        <v>127</v>
      </c>
      <c r="F30" s="68" t="s">
        <v>128</v>
      </c>
      <c r="G30" s="69" t="s">
        <v>129</v>
      </c>
      <c r="H30" s="70"/>
      <c r="I30" s="116" t="s">
        <v>130</v>
      </c>
      <c r="J30" s="117" t="s">
        <v>131</v>
      </c>
      <c r="K30" s="118" t="s">
        <v>132</v>
      </c>
      <c r="L30" s="118" t="s">
        <v>133</v>
      </c>
      <c r="M30" s="119" t="s">
        <v>134</v>
      </c>
      <c r="N30" s="120" t="s">
        <v>135</v>
      </c>
      <c r="O30" s="121" t="s">
        <v>136</v>
      </c>
      <c r="P30" s="121" t="s">
        <v>119</v>
      </c>
      <c r="Q30" s="121" t="s">
        <v>119</v>
      </c>
      <c r="R30" s="121" t="s">
        <v>136</v>
      </c>
      <c r="S30" s="121" t="s">
        <v>119</v>
      </c>
      <c r="T30" s="121" t="s">
        <v>136</v>
      </c>
      <c r="U30" s="121" t="s">
        <v>119</v>
      </c>
      <c r="V30" s="181"/>
      <c r="W30" s="42"/>
      <c r="Z30" s="39"/>
    </row>
    <row r="31" ht="15.9" customHeight="1" spans="2:26">
      <c r="B31" s="71" t="s">
        <v>137</v>
      </c>
      <c r="C31" s="72"/>
      <c r="D31" s="73" t="s">
        <v>138</v>
      </c>
      <c r="E31" s="74" t="s">
        <v>139</v>
      </c>
      <c r="F31" s="75"/>
      <c r="G31" s="75" t="s">
        <v>140</v>
      </c>
      <c r="H31" s="58" t="s">
        <v>133</v>
      </c>
      <c r="I31" s="122" t="s">
        <v>141</v>
      </c>
      <c r="J31" s="123" t="s">
        <v>142</v>
      </c>
      <c r="K31" s="74" t="s">
        <v>143</v>
      </c>
      <c r="L31" s="74" t="s">
        <v>144</v>
      </c>
      <c r="M31" s="124" t="s">
        <v>145</v>
      </c>
      <c r="N31" s="125" t="s">
        <v>146</v>
      </c>
      <c r="O31" s="125" t="s">
        <v>147</v>
      </c>
      <c r="P31" s="126" t="s">
        <v>148</v>
      </c>
      <c r="Q31" s="126" t="s">
        <v>149</v>
      </c>
      <c r="R31" s="125" t="s">
        <v>150</v>
      </c>
      <c r="S31" s="126" t="s">
        <v>151</v>
      </c>
      <c r="T31" s="125" t="s">
        <v>152</v>
      </c>
      <c r="U31" s="126" t="s">
        <v>153</v>
      </c>
      <c r="V31" s="76"/>
      <c r="W31" s="42"/>
      <c r="Y31" s="41"/>
      <c r="Z31" s="39"/>
    </row>
    <row r="32" ht="15.9" customHeight="1" spans="2:26">
      <c r="B32" s="71" t="s">
        <v>154</v>
      </c>
      <c r="C32" s="72"/>
      <c r="D32" s="73"/>
      <c r="E32" s="76"/>
      <c r="F32" s="77"/>
      <c r="G32" s="77"/>
      <c r="H32" s="78">
        <v>50</v>
      </c>
      <c r="I32" s="73"/>
      <c r="J32" s="127"/>
      <c r="K32" s="128" t="s">
        <v>155</v>
      </c>
      <c r="L32" s="129"/>
      <c r="M32" s="130">
        <f>E17</f>
        <v>4000</v>
      </c>
      <c r="N32" s="128" t="s">
        <v>156</v>
      </c>
      <c r="O32" s="131">
        <v>250</v>
      </c>
      <c r="P32" s="132"/>
      <c r="Q32" s="132"/>
      <c r="R32" s="131">
        <v>0</v>
      </c>
      <c r="S32" s="132"/>
      <c r="T32" s="131">
        <v>0</v>
      </c>
      <c r="U32" s="132"/>
      <c r="V32" s="90" t="s">
        <v>157</v>
      </c>
      <c r="W32" s="81"/>
      <c r="Y32" s="41"/>
      <c r="Z32" s="39"/>
    </row>
    <row r="33" ht="15.9" customHeight="1" spans="2:26">
      <c r="B33" s="200" t="s">
        <v>158</v>
      </c>
      <c r="C33" s="42">
        <v>0</v>
      </c>
      <c r="D33" s="79">
        <v>30</v>
      </c>
      <c r="E33" s="80">
        <v>6300</v>
      </c>
      <c r="F33" s="81">
        <v>4.5</v>
      </c>
      <c r="G33" s="82"/>
      <c r="H33" s="83">
        <v>57.7</v>
      </c>
      <c r="I33" s="83">
        <f t="shared" ref="I33:I49" si="0">H33/$K$19*100</f>
        <v>38.1370488217823</v>
      </c>
      <c r="J33" s="81">
        <v>0.2</v>
      </c>
      <c r="K33" s="133">
        <f t="shared" ref="K33:K49" si="1">L33*30/$M$27</f>
        <v>84.2105263157895</v>
      </c>
      <c r="L33" s="134">
        <f>M32/H32</f>
        <v>80</v>
      </c>
      <c r="N33" s="135"/>
      <c r="P33" s="133"/>
      <c r="Q33" s="182"/>
      <c r="S33" s="133"/>
      <c r="T33" s="65"/>
      <c r="U33" s="133"/>
      <c r="V33" s="90"/>
      <c r="W33" s="81"/>
      <c r="Y33" s="41"/>
      <c r="Z33" s="39"/>
    </row>
    <row r="34" ht="15.9" customHeight="1" spans="2:26">
      <c r="B34" s="42">
        <v>1</v>
      </c>
      <c r="C34" s="84" t="s">
        <v>159</v>
      </c>
      <c r="D34" s="79">
        <v>30</v>
      </c>
      <c r="E34" s="80">
        <v>6300</v>
      </c>
      <c r="F34" s="81">
        <v>4.5</v>
      </c>
      <c r="G34" s="82"/>
      <c r="H34" s="83">
        <f>H33+Q34/1000</f>
        <v>58.2714285714286</v>
      </c>
      <c r="I34" s="83">
        <f t="shared" si="0"/>
        <v>38.5147368517083</v>
      </c>
      <c r="J34" s="81">
        <v>0.2</v>
      </c>
      <c r="K34" s="133">
        <f t="shared" si="1"/>
        <v>85.6973456170756</v>
      </c>
      <c r="L34" s="134">
        <f t="shared" ref="L34:L49" si="2">M34/H33</f>
        <v>81.4124783362218</v>
      </c>
      <c r="M34" s="136">
        <f>M32+(O32+O34)*$E$9</f>
        <v>4697.5</v>
      </c>
      <c r="N34" s="137">
        <f>EXP(LN(M34/M32)/(80/60))</f>
        <v>1.12811947880064</v>
      </c>
      <c r="O34" s="138">
        <v>200</v>
      </c>
      <c r="P34" s="57">
        <f>O32+O34</f>
        <v>450</v>
      </c>
      <c r="Q34" s="57">
        <f>O34/$K$9</f>
        <v>571.428571428571</v>
      </c>
      <c r="R34" s="143">
        <v>21.8694736842105</v>
      </c>
      <c r="S34" s="133">
        <f>R32+R34</f>
        <v>21.8694736842105</v>
      </c>
      <c r="T34" s="54">
        <v>22</v>
      </c>
      <c r="U34" s="133">
        <f>T32+T34</f>
        <v>22</v>
      </c>
      <c r="V34" s="65"/>
      <c r="W34" s="81"/>
      <c r="Y34" s="41"/>
      <c r="Z34" s="39"/>
    </row>
    <row r="35" ht="15.9" customHeight="1" spans="2:26">
      <c r="B35" s="42">
        <f t="shared" ref="B35:B47" si="3">1+B34</f>
        <v>2</v>
      </c>
      <c r="C35" s="84" t="s">
        <v>160</v>
      </c>
      <c r="D35" s="79">
        <v>30</v>
      </c>
      <c r="E35" s="80">
        <v>6300</v>
      </c>
      <c r="F35" s="85">
        <v>4.8</v>
      </c>
      <c r="G35" s="82"/>
      <c r="H35" s="83">
        <f t="shared" ref="H35:H49" si="4">H34+Q35/1000</f>
        <v>59.3571428571429</v>
      </c>
      <c r="I35" s="83">
        <f t="shared" si="0"/>
        <v>39.2323441085678</v>
      </c>
      <c r="J35" s="139">
        <v>0.2</v>
      </c>
      <c r="K35" s="133">
        <f t="shared" si="1"/>
        <v>95.4968322989381</v>
      </c>
      <c r="L35" s="140">
        <f t="shared" si="2"/>
        <v>90.7219906839912</v>
      </c>
      <c r="M35" s="141">
        <f t="shared" ref="M35" si="5">M34+O35*$E$9</f>
        <v>5286.5</v>
      </c>
      <c r="N35" s="142">
        <f t="shared" ref="N35:N49" si="6">M35/M34</f>
        <v>1.12538584353379</v>
      </c>
      <c r="O35" s="143">
        <v>380</v>
      </c>
      <c r="P35" s="57">
        <f t="shared" ref="P35" si="7">O35+P34</f>
        <v>830</v>
      </c>
      <c r="Q35" s="57">
        <f t="shared" ref="Q35:Q49" si="8">O35/$K$9</f>
        <v>1085.71428571429</v>
      </c>
      <c r="R35" s="143">
        <v>26.8210526315789</v>
      </c>
      <c r="S35" s="133">
        <f t="shared" ref="S35:S48" si="9">R35+S34</f>
        <v>48.6905263157894</v>
      </c>
      <c r="T35" s="54">
        <v>27</v>
      </c>
      <c r="U35" s="133">
        <f t="shared" ref="U35:U43" si="10">T35+U34</f>
        <v>49</v>
      </c>
      <c r="V35" s="90"/>
      <c r="W35" s="81"/>
      <c r="Y35" s="41"/>
      <c r="Z35" s="39"/>
    </row>
    <row r="36" ht="15.9" customHeight="1" spans="2:26">
      <c r="B36" s="42">
        <f t="shared" si="3"/>
        <v>3</v>
      </c>
      <c r="C36" s="84" t="s">
        <v>161</v>
      </c>
      <c r="D36" s="79">
        <v>30</v>
      </c>
      <c r="E36" s="80">
        <v>7000</v>
      </c>
      <c r="F36" s="85">
        <v>5.1</v>
      </c>
      <c r="G36" s="82"/>
      <c r="H36" s="83">
        <f t="shared" si="4"/>
        <v>60.7857142857143</v>
      </c>
      <c r="I36" s="83">
        <f t="shared" si="0"/>
        <v>40.1765641833829</v>
      </c>
      <c r="J36" s="81">
        <v>0.18</v>
      </c>
      <c r="K36" s="133">
        <f t="shared" si="1"/>
        <v>107.493824814744</v>
      </c>
      <c r="L36" s="134">
        <f t="shared" si="2"/>
        <v>102.119133574007</v>
      </c>
      <c r="M36" s="136">
        <f t="shared" ref="M36:M49" si="11">M35+O36*$E$9</f>
        <v>6061.5</v>
      </c>
      <c r="N36" s="137">
        <f t="shared" si="6"/>
        <v>1.14659982975504</v>
      </c>
      <c r="O36" s="138">
        <v>500</v>
      </c>
      <c r="P36" s="57">
        <f t="shared" ref="P36:P49" si="12">O36+P35</f>
        <v>1330</v>
      </c>
      <c r="Q36" s="57">
        <f t="shared" si="8"/>
        <v>1428.57142857143</v>
      </c>
      <c r="R36" s="143">
        <v>30</v>
      </c>
      <c r="S36" s="133">
        <f t="shared" si="9"/>
        <v>78.6905263157894</v>
      </c>
      <c r="T36" s="54">
        <v>29</v>
      </c>
      <c r="U36" s="133">
        <f t="shared" si="10"/>
        <v>78</v>
      </c>
      <c r="V36" s="90"/>
      <c r="W36" s="81"/>
      <c r="Y36" s="41"/>
      <c r="Z36" s="39"/>
    </row>
    <row r="37" ht="15.9" customHeight="1" spans="2:26">
      <c r="B37" s="42">
        <f t="shared" si="3"/>
        <v>4</v>
      </c>
      <c r="C37" s="201" t="s">
        <v>162</v>
      </c>
      <c r="D37" s="79">
        <v>30</v>
      </c>
      <c r="E37" s="80">
        <v>7000</v>
      </c>
      <c r="F37" s="85">
        <v>5.2</v>
      </c>
      <c r="G37" s="82"/>
      <c r="H37" s="83">
        <f t="shared" si="4"/>
        <v>62.512030075188</v>
      </c>
      <c r="I37" s="83">
        <f t="shared" si="0"/>
        <v>41.3175796001068</v>
      </c>
      <c r="J37" s="81">
        <v>0.15</v>
      </c>
      <c r="K37" s="133">
        <f t="shared" si="1"/>
        <v>121.185439323462</v>
      </c>
      <c r="L37" s="134">
        <f t="shared" si="2"/>
        <v>115.126167357289</v>
      </c>
      <c r="M37" s="136">
        <f t="shared" si="11"/>
        <v>6998.02631578947</v>
      </c>
      <c r="N37" s="137">
        <f t="shared" si="6"/>
        <v>1.15450405275748</v>
      </c>
      <c r="O37" s="138">
        <v>604.210526315789</v>
      </c>
      <c r="P37" s="57">
        <f t="shared" si="12"/>
        <v>1934.21052631579</v>
      </c>
      <c r="Q37" s="57">
        <f t="shared" si="8"/>
        <v>1726.31578947368</v>
      </c>
      <c r="R37" s="143">
        <v>35</v>
      </c>
      <c r="S37" s="133">
        <f t="shared" si="9"/>
        <v>113.690526315789</v>
      </c>
      <c r="T37" s="54">
        <v>32</v>
      </c>
      <c r="U37" s="133">
        <f t="shared" si="10"/>
        <v>110</v>
      </c>
      <c r="V37" s="90"/>
      <c r="W37" s="81"/>
      <c r="Y37" s="41"/>
      <c r="Z37" s="39"/>
    </row>
    <row r="38" ht="15.9" customHeight="1" spans="2:26">
      <c r="B38" s="42">
        <f t="shared" si="3"/>
        <v>5</v>
      </c>
      <c r="C38" s="84" t="s">
        <v>163</v>
      </c>
      <c r="D38" s="79">
        <v>30</v>
      </c>
      <c r="E38" s="80">
        <v>8400</v>
      </c>
      <c r="F38" s="85">
        <v>5.3</v>
      </c>
      <c r="G38" s="82"/>
      <c r="H38" s="83">
        <f t="shared" si="4"/>
        <v>64.6172932330827</v>
      </c>
      <c r="I38" s="83">
        <f t="shared" si="0"/>
        <v>42.7090618156238</v>
      </c>
      <c r="J38" s="81">
        <v>0.13</v>
      </c>
      <c r="K38" s="133">
        <f t="shared" si="1"/>
        <v>137.070569400492</v>
      </c>
      <c r="L38" s="134">
        <f t="shared" si="2"/>
        <v>130.217040930468</v>
      </c>
      <c r="M38" s="136">
        <f t="shared" si="11"/>
        <v>8140.13157894737</v>
      </c>
      <c r="N38" s="137">
        <f t="shared" si="6"/>
        <v>1.16320391087713</v>
      </c>
      <c r="O38" s="138">
        <v>736.842105263158</v>
      </c>
      <c r="P38" s="57">
        <f t="shared" si="12"/>
        <v>2671.05263157895</v>
      </c>
      <c r="Q38" s="57">
        <f t="shared" si="8"/>
        <v>2105.26315789474</v>
      </c>
      <c r="R38" s="143">
        <v>41</v>
      </c>
      <c r="S38" s="133">
        <f t="shared" si="9"/>
        <v>154.690526315789</v>
      </c>
      <c r="T38" s="54">
        <v>50</v>
      </c>
      <c r="U38" s="133">
        <f t="shared" si="10"/>
        <v>160</v>
      </c>
      <c r="V38" s="90"/>
      <c r="W38" s="81"/>
      <c r="Y38" s="41"/>
      <c r="Z38" s="39"/>
    </row>
    <row r="39" ht="15.9" customHeight="1" spans="2:26">
      <c r="B39" s="42">
        <f t="shared" si="3"/>
        <v>6</v>
      </c>
      <c r="C39" s="84" t="s">
        <v>164</v>
      </c>
      <c r="D39" s="79">
        <v>30</v>
      </c>
      <c r="E39" s="80">
        <v>9800</v>
      </c>
      <c r="F39" s="85">
        <v>5.4</v>
      </c>
      <c r="G39" s="82"/>
      <c r="H39" s="83">
        <f t="shared" si="4"/>
        <v>67.0972932330827</v>
      </c>
      <c r="I39" s="83">
        <f t="shared" si="0"/>
        <v>44.3482278655029</v>
      </c>
      <c r="J39" s="144">
        <v>0.12</v>
      </c>
      <c r="K39" s="133">
        <f t="shared" si="1"/>
        <v>154.521639386629</v>
      </c>
      <c r="L39" s="134">
        <f t="shared" si="2"/>
        <v>146.795557417298</v>
      </c>
      <c r="M39" s="136">
        <f t="shared" si="11"/>
        <v>9485.53157894737</v>
      </c>
      <c r="N39" s="137">
        <f t="shared" si="6"/>
        <v>1.16527988361755</v>
      </c>
      <c r="O39" s="138">
        <v>868</v>
      </c>
      <c r="P39" s="57">
        <f t="shared" si="12"/>
        <v>3539.05263157895</v>
      </c>
      <c r="Q39" s="57">
        <f t="shared" si="8"/>
        <v>2480</v>
      </c>
      <c r="R39" s="143">
        <v>49</v>
      </c>
      <c r="S39" s="133">
        <f t="shared" si="9"/>
        <v>203.690526315789</v>
      </c>
      <c r="T39" s="54">
        <v>52</v>
      </c>
      <c r="U39" s="133">
        <f t="shared" si="10"/>
        <v>212</v>
      </c>
      <c r="V39" s="90"/>
      <c r="W39" s="81"/>
      <c r="Y39" s="41"/>
      <c r="Z39" s="39"/>
    </row>
    <row r="40" ht="15.9" customHeight="1" spans="2:26">
      <c r="B40" s="42">
        <f t="shared" si="3"/>
        <v>7</v>
      </c>
      <c r="C40" s="84" t="s">
        <v>165</v>
      </c>
      <c r="D40" s="79">
        <v>30</v>
      </c>
      <c r="E40" s="80">
        <v>10500</v>
      </c>
      <c r="F40" s="81">
        <v>5.7</v>
      </c>
      <c r="G40" s="82"/>
      <c r="H40" s="83">
        <f t="shared" si="4"/>
        <v>69.8951879699248</v>
      </c>
      <c r="I40" s="83">
        <f t="shared" si="0"/>
        <v>46.197507729925</v>
      </c>
      <c r="J40" s="144">
        <v>0.1</v>
      </c>
      <c r="K40" s="133">
        <f t="shared" si="1"/>
        <v>172.622689789016</v>
      </c>
      <c r="L40" s="134">
        <f t="shared" si="2"/>
        <v>163.991555299565</v>
      </c>
      <c r="M40" s="136">
        <f t="shared" si="11"/>
        <v>11003.3894736842</v>
      </c>
      <c r="N40" s="137">
        <f t="shared" si="6"/>
        <v>1.16001822165725</v>
      </c>
      <c r="O40" s="138">
        <v>979.263157894737</v>
      </c>
      <c r="P40" s="57">
        <f t="shared" si="12"/>
        <v>4518.31578947368</v>
      </c>
      <c r="Q40" s="57">
        <f t="shared" si="8"/>
        <v>2797.89473684211</v>
      </c>
      <c r="R40" s="143">
        <v>54.8387368421053</v>
      </c>
      <c r="S40" s="133">
        <f t="shared" si="9"/>
        <v>258.529263157895</v>
      </c>
      <c r="T40" s="54">
        <v>53</v>
      </c>
      <c r="U40" s="133">
        <f t="shared" si="10"/>
        <v>265</v>
      </c>
      <c r="V40" s="183" t="s">
        <v>166</v>
      </c>
      <c r="W40" s="81"/>
      <c r="Y40" s="41"/>
      <c r="Z40" s="39"/>
    </row>
    <row r="41" ht="15.9" customHeight="1" spans="2:26">
      <c r="B41" s="42">
        <f t="shared" si="3"/>
        <v>8</v>
      </c>
      <c r="C41" s="84" t="s">
        <v>167</v>
      </c>
      <c r="D41" s="79">
        <v>30</v>
      </c>
      <c r="E41" s="80">
        <v>11200</v>
      </c>
      <c r="F41" s="81">
        <v>5.8</v>
      </c>
      <c r="G41" s="82"/>
      <c r="H41" s="83">
        <f t="shared" si="4"/>
        <v>73.1225563909775</v>
      </c>
      <c r="I41" s="83">
        <f t="shared" si="0"/>
        <v>48.3306499663125</v>
      </c>
      <c r="J41" s="144">
        <v>0.1</v>
      </c>
      <c r="K41" s="133">
        <f t="shared" si="1"/>
        <v>192.080640389018</v>
      </c>
      <c r="L41" s="134">
        <f t="shared" si="2"/>
        <v>182.476608369567</v>
      </c>
      <c r="M41" s="136">
        <f t="shared" si="11"/>
        <v>12754.2368421053</v>
      </c>
      <c r="N41" s="137">
        <f t="shared" si="6"/>
        <v>1.15911891264127</v>
      </c>
      <c r="O41" s="138">
        <v>1129.57894736842</v>
      </c>
      <c r="P41" s="57">
        <f t="shared" si="12"/>
        <v>5647.8947368421</v>
      </c>
      <c r="Q41" s="57">
        <f t="shared" si="8"/>
        <v>3227.36842105263</v>
      </c>
      <c r="R41" s="143">
        <v>63.2564210526316</v>
      </c>
      <c r="S41" s="133">
        <f t="shared" si="9"/>
        <v>321.785684210526</v>
      </c>
      <c r="T41" s="54">
        <v>65</v>
      </c>
      <c r="U41" s="184">
        <f t="shared" si="10"/>
        <v>330</v>
      </c>
      <c r="V41" s="134"/>
      <c r="W41" s="81"/>
      <c r="Y41" s="41"/>
      <c r="Z41" s="39"/>
    </row>
    <row r="42" ht="15.9" customHeight="1" spans="2:26">
      <c r="B42" s="42">
        <f t="shared" si="3"/>
        <v>9</v>
      </c>
      <c r="C42" s="84" t="s">
        <v>168</v>
      </c>
      <c r="D42" s="79">
        <v>30</v>
      </c>
      <c r="E42" s="80">
        <v>12000</v>
      </c>
      <c r="F42" s="85">
        <v>6</v>
      </c>
      <c r="G42" s="82"/>
      <c r="H42" s="83">
        <f t="shared" si="4"/>
        <v>76.6172932330827</v>
      </c>
      <c r="I42" s="83">
        <f t="shared" si="0"/>
        <v>50.6405104440708</v>
      </c>
      <c r="J42" s="81">
        <v>0.08</v>
      </c>
      <c r="K42" s="133">
        <f t="shared" si="1"/>
        <v>210.895131363827</v>
      </c>
      <c r="L42" s="134">
        <f t="shared" si="2"/>
        <v>200.350374795636</v>
      </c>
      <c r="M42" s="136">
        <f t="shared" si="11"/>
        <v>14650.1315789474</v>
      </c>
      <c r="N42" s="137">
        <f t="shared" si="6"/>
        <v>1.1486482304126</v>
      </c>
      <c r="O42" s="138">
        <v>1223.15789473684</v>
      </c>
      <c r="P42" s="57">
        <f t="shared" si="12"/>
        <v>6871.05263157894</v>
      </c>
      <c r="Q42" s="57">
        <f t="shared" si="8"/>
        <v>3494.73684210526</v>
      </c>
      <c r="R42" s="143">
        <v>68.4968421052632</v>
      </c>
      <c r="S42" s="133">
        <f t="shared" si="9"/>
        <v>390.282526315789</v>
      </c>
      <c r="T42" s="54">
        <v>65</v>
      </c>
      <c r="U42" s="184">
        <f t="shared" si="10"/>
        <v>395</v>
      </c>
      <c r="V42" s="134"/>
      <c r="W42" s="81"/>
      <c r="Y42" s="41"/>
      <c r="Z42" s="39"/>
    </row>
    <row r="43" ht="15.9" customHeight="1" spans="2:26">
      <c r="B43" s="42">
        <f t="shared" si="3"/>
        <v>10</v>
      </c>
      <c r="C43" s="84" t="s">
        <v>169</v>
      </c>
      <c r="D43" s="79">
        <v>30</v>
      </c>
      <c r="E43" s="80">
        <v>12000</v>
      </c>
      <c r="F43" s="81">
        <v>6.2</v>
      </c>
      <c r="G43" s="82"/>
      <c r="H43" s="83">
        <f t="shared" si="4"/>
        <v>80.3315789473684</v>
      </c>
      <c r="I43" s="83">
        <f t="shared" si="0"/>
        <v>53.09548263859</v>
      </c>
      <c r="J43" s="81">
        <v>0.08</v>
      </c>
      <c r="K43" s="133">
        <f t="shared" si="1"/>
        <v>228.959325330726</v>
      </c>
      <c r="L43" s="134">
        <f t="shared" si="2"/>
        <v>217.51135906419</v>
      </c>
      <c r="M43" s="136">
        <f t="shared" si="11"/>
        <v>16665.1315789474</v>
      </c>
      <c r="N43" s="137">
        <f t="shared" si="6"/>
        <v>1.13754142678798</v>
      </c>
      <c r="O43" s="138">
        <v>1300</v>
      </c>
      <c r="P43" s="57">
        <f t="shared" si="12"/>
        <v>8171.05263157894</v>
      </c>
      <c r="Q43" s="57">
        <f t="shared" si="8"/>
        <v>3714.28571428571</v>
      </c>
      <c r="R43" s="143">
        <v>68.4968421052632</v>
      </c>
      <c r="S43" s="133">
        <f t="shared" si="9"/>
        <v>458.779368421053</v>
      </c>
      <c r="T43" s="54">
        <v>55</v>
      </c>
      <c r="U43" s="184">
        <f t="shared" si="10"/>
        <v>450</v>
      </c>
      <c r="V43" s="185"/>
      <c r="W43" s="81"/>
      <c r="Y43" s="41"/>
      <c r="Z43" s="39"/>
    </row>
    <row r="44" ht="15.9" customHeight="1" spans="2:26">
      <c r="B44" s="42">
        <f t="shared" si="3"/>
        <v>11</v>
      </c>
      <c r="C44" s="84" t="s">
        <v>170</v>
      </c>
      <c r="D44" s="79">
        <v>30</v>
      </c>
      <c r="E44" s="80">
        <v>12000</v>
      </c>
      <c r="F44" s="81">
        <v>6.3</v>
      </c>
      <c r="G44" s="82"/>
      <c r="H44" s="83">
        <f t="shared" si="4"/>
        <v>84.1568421052632</v>
      </c>
      <c r="I44" s="83">
        <f t="shared" si="0"/>
        <v>55.6238058241844</v>
      </c>
      <c r="J44" s="81">
        <v>0.05</v>
      </c>
      <c r="K44" s="133">
        <f t="shared" si="1"/>
        <v>245.565574816291</v>
      </c>
      <c r="L44" s="134">
        <f t="shared" si="2"/>
        <v>233.287296075477</v>
      </c>
      <c r="M44" s="136">
        <f t="shared" si="11"/>
        <v>18740.3368421053</v>
      </c>
      <c r="N44" s="137">
        <f t="shared" si="6"/>
        <v>1.12452378508547</v>
      </c>
      <c r="O44" s="138">
        <v>1338.84210526316</v>
      </c>
      <c r="P44" s="57">
        <f t="shared" si="12"/>
        <v>9509.8947368421</v>
      </c>
      <c r="Q44" s="57">
        <f t="shared" si="8"/>
        <v>3825.26315789474</v>
      </c>
      <c r="R44" s="143">
        <v>74.9751578947368</v>
      </c>
      <c r="S44" s="133">
        <f t="shared" si="9"/>
        <v>533.754526315789</v>
      </c>
      <c r="T44" s="54"/>
      <c r="U44" s="184"/>
      <c r="V44" s="185"/>
      <c r="W44" s="81"/>
      <c r="Y44" s="41"/>
      <c r="Z44" s="39"/>
    </row>
    <row r="45" ht="15.9" customHeight="1" spans="2:26">
      <c r="B45" s="42">
        <f t="shared" si="3"/>
        <v>12</v>
      </c>
      <c r="C45" s="84" t="s">
        <v>171</v>
      </c>
      <c r="D45" s="79">
        <v>30</v>
      </c>
      <c r="E45" s="80">
        <v>12000</v>
      </c>
      <c r="F45" s="81">
        <v>6.3</v>
      </c>
      <c r="G45" s="82"/>
      <c r="H45" s="83">
        <f t="shared" si="4"/>
        <v>88.013984962406</v>
      </c>
      <c r="I45" s="83">
        <f t="shared" si="0"/>
        <v>58.1732000261852</v>
      </c>
      <c r="J45" s="81">
        <v>0.05</v>
      </c>
      <c r="K45" s="133">
        <f t="shared" si="1"/>
        <v>260.576578094851</v>
      </c>
      <c r="L45" s="134">
        <f t="shared" si="2"/>
        <v>247.547749190109</v>
      </c>
      <c r="M45" s="136">
        <f t="shared" si="11"/>
        <v>20832.8368421053</v>
      </c>
      <c r="N45" s="137">
        <f t="shared" si="6"/>
        <v>1.11165754477255</v>
      </c>
      <c r="O45" s="138">
        <v>1350</v>
      </c>
      <c r="P45" s="57">
        <f t="shared" si="12"/>
        <v>10859.8947368421</v>
      </c>
      <c r="Q45" s="57">
        <f t="shared" si="8"/>
        <v>3857.14285714286</v>
      </c>
      <c r="R45" s="143">
        <v>77.5334736842105</v>
      </c>
      <c r="S45" s="133">
        <f t="shared" si="9"/>
        <v>611.288</v>
      </c>
      <c r="T45" s="54"/>
      <c r="U45" s="133"/>
      <c r="V45" s="185"/>
      <c r="W45" s="81"/>
      <c r="Y45" s="41"/>
      <c r="Z45" s="39"/>
    </row>
    <row r="46" ht="15.9" customHeight="1" spans="2:26">
      <c r="B46" s="42">
        <f t="shared" si="3"/>
        <v>13</v>
      </c>
      <c r="C46" s="84" t="s">
        <v>172</v>
      </c>
      <c r="D46" s="79">
        <v>30</v>
      </c>
      <c r="E46" s="80">
        <v>12000</v>
      </c>
      <c r="F46" s="81">
        <v>6.3</v>
      </c>
      <c r="G46" s="82"/>
      <c r="H46" s="83">
        <f t="shared" si="4"/>
        <v>91.8711278195489</v>
      </c>
      <c r="I46" s="83">
        <f t="shared" si="0"/>
        <v>60.722594228186</v>
      </c>
      <c r="J46" s="81">
        <v>0.05</v>
      </c>
      <c r="K46" s="133">
        <f t="shared" si="1"/>
        <v>274.182944089092</v>
      </c>
      <c r="L46" s="134">
        <f t="shared" si="2"/>
        <v>260.473796884637</v>
      </c>
      <c r="M46" s="136">
        <f t="shared" si="11"/>
        <v>22925.3368421053</v>
      </c>
      <c r="N46" s="137">
        <f t="shared" si="6"/>
        <v>1.10044239370084</v>
      </c>
      <c r="O46" s="138">
        <v>1350</v>
      </c>
      <c r="P46" s="57">
        <f t="shared" si="12"/>
        <v>12209.8947368421</v>
      </c>
      <c r="Q46" s="57">
        <f t="shared" si="8"/>
        <v>3857.14285714286</v>
      </c>
      <c r="R46" s="143">
        <v>80</v>
      </c>
      <c r="S46" s="133">
        <f t="shared" si="9"/>
        <v>691.288</v>
      </c>
      <c r="T46" s="54"/>
      <c r="U46" s="133"/>
      <c r="V46" s="185"/>
      <c r="W46" s="81"/>
      <c r="Y46" s="41"/>
      <c r="Z46" s="39"/>
    </row>
    <row r="47" ht="15.9" customHeight="1" spans="2:26">
      <c r="B47" s="42">
        <f t="shared" si="3"/>
        <v>14</v>
      </c>
      <c r="C47" s="84" t="s">
        <v>173</v>
      </c>
      <c r="D47" s="79">
        <v>30</v>
      </c>
      <c r="E47" s="80">
        <v>12000</v>
      </c>
      <c r="F47" s="81">
        <v>6.3</v>
      </c>
      <c r="G47" s="82"/>
      <c r="H47" s="83">
        <f t="shared" si="4"/>
        <v>95.4425563909774</v>
      </c>
      <c r="I47" s="83">
        <f t="shared" si="0"/>
        <v>63.0831444152238</v>
      </c>
      <c r="J47" s="81">
        <v>0.05</v>
      </c>
      <c r="K47" s="133">
        <f t="shared" si="1"/>
        <v>284.870860120726</v>
      </c>
      <c r="L47" s="134">
        <f t="shared" si="2"/>
        <v>270.62731711469</v>
      </c>
      <c r="M47" s="136">
        <f t="shared" si="11"/>
        <v>24862.8368421053</v>
      </c>
      <c r="N47" s="137">
        <f t="shared" si="6"/>
        <v>1.08451348014401</v>
      </c>
      <c r="O47" s="138">
        <v>1250</v>
      </c>
      <c r="P47" s="57">
        <f t="shared" si="12"/>
        <v>13459.8947368421</v>
      </c>
      <c r="Q47" s="57">
        <f t="shared" si="8"/>
        <v>3571.42857142857</v>
      </c>
      <c r="R47" s="143">
        <v>80</v>
      </c>
      <c r="S47" s="184">
        <f t="shared" si="9"/>
        <v>771.288</v>
      </c>
      <c r="T47" s="57"/>
      <c r="U47" s="133"/>
      <c r="V47" s="134"/>
      <c r="W47" s="81"/>
      <c r="Y47" s="41"/>
      <c r="Z47" s="39"/>
    </row>
    <row r="48" ht="15.9" customHeight="1" spans="2:26">
      <c r="B48" s="86">
        <v>15</v>
      </c>
      <c r="C48" s="84" t="s">
        <v>174</v>
      </c>
      <c r="D48" s="79">
        <v>30</v>
      </c>
      <c r="E48" s="80">
        <v>11000</v>
      </c>
      <c r="F48" s="81">
        <v>6.3</v>
      </c>
      <c r="G48" s="82"/>
      <c r="H48" s="83">
        <f t="shared" si="4"/>
        <v>98.7282706766917</v>
      </c>
      <c r="I48" s="83">
        <f t="shared" si="0"/>
        <v>65.2548505872986</v>
      </c>
      <c r="J48" s="81">
        <v>0.03</v>
      </c>
      <c r="K48" s="133">
        <f t="shared" si="1"/>
        <v>293.870198497127</v>
      </c>
      <c r="L48" s="134">
        <f t="shared" si="2"/>
        <v>279.17668857227</v>
      </c>
      <c r="M48" s="136">
        <f t="shared" si="11"/>
        <v>26645.3368421053</v>
      </c>
      <c r="N48" s="137">
        <f t="shared" si="6"/>
        <v>1.07169334743738</v>
      </c>
      <c r="O48" s="138">
        <v>1150</v>
      </c>
      <c r="P48" s="57">
        <f t="shared" si="12"/>
        <v>14609.8947368421</v>
      </c>
      <c r="Q48" s="57">
        <f t="shared" si="8"/>
        <v>3285.71428571429</v>
      </c>
      <c r="R48" s="143">
        <v>79</v>
      </c>
      <c r="S48" s="184">
        <f t="shared" si="9"/>
        <v>850.288</v>
      </c>
      <c r="T48" s="57"/>
      <c r="U48" s="133"/>
      <c r="V48" s="134"/>
      <c r="W48" s="81"/>
      <c r="Y48" s="41"/>
      <c r="Z48" s="39"/>
    </row>
    <row r="49" ht="30" customHeight="1" spans="2:26">
      <c r="B49" s="86">
        <v>16</v>
      </c>
      <c r="C49" s="84" t="s">
        <v>175</v>
      </c>
      <c r="D49" s="79">
        <v>30</v>
      </c>
      <c r="E49" s="80">
        <v>10000</v>
      </c>
      <c r="F49" s="87">
        <v>6.5</v>
      </c>
      <c r="G49" s="82"/>
      <c r="H49" s="83">
        <f t="shared" si="4"/>
        <v>99.8425563909774</v>
      </c>
      <c r="I49" s="83">
        <f t="shared" si="0"/>
        <v>65.9913422456544</v>
      </c>
      <c r="J49" s="81">
        <v>0.03</v>
      </c>
      <c r="K49" s="133">
        <f t="shared" si="1"/>
        <v>290.535209262359</v>
      </c>
      <c r="L49" s="134">
        <f t="shared" si="2"/>
        <v>276.008448799241</v>
      </c>
      <c r="M49" s="136">
        <f t="shared" si="11"/>
        <v>27249.8368421053</v>
      </c>
      <c r="N49" s="137">
        <f t="shared" si="6"/>
        <v>1.02268689653211</v>
      </c>
      <c r="O49" s="138">
        <v>390</v>
      </c>
      <c r="P49" s="57">
        <f t="shared" si="12"/>
        <v>14999.8947368421</v>
      </c>
      <c r="Q49" s="57">
        <f t="shared" si="8"/>
        <v>1114.28571428571</v>
      </c>
      <c r="R49" s="57"/>
      <c r="S49" s="133"/>
      <c r="T49" s="57"/>
      <c r="U49" s="133"/>
      <c r="V49" s="134"/>
      <c r="W49" s="81"/>
      <c r="Y49" s="41"/>
      <c r="Z49" s="39"/>
    </row>
    <row r="50" ht="30" customHeight="1" spans="2:26">
      <c r="B50" s="86" t="s">
        <v>176</v>
      </c>
      <c r="C50" s="84"/>
      <c r="D50" s="79">
        <v>20</v>
      </c>
      <c r="E50" s="80"/>
      <c r="F50" s="87"/>
      <c r="G50" s="82"/>
      <c r="H50" s="83"/>
      <c r="I50" s="83"/>
      <c r="J50" s="81"/>
      <c r="K50" s="133"/>
      <c r="L50" s="134"/>
      <c r="M50" s="133"/>
      <c r="N50" s="135"/>
      <c r="O50" s="145"/>
      <c r="P50" s="133"/>
      <c r="Q50" s="133"/>
      <c r="R50" s="134"/>
      <c r="S50" s="133"/>
      <c r="T50" s="134"/>
      <c r="U50" s="133"/>
      <c r="V50" s="134"/>
      <c r="W50" s="42"/>
      <c r="Y50" s="41"/>
      <c r="Z50" s="39"/>
    </row>
    <row r="51" ht="30" customHeight="1" spans="2:26">
      <c r="B51" s="88"/>
      <c r="C51" s="89"/>
      <c r="D51" s="90"/>
      <c r="E51" s="80"/>
      <c r="F51" s="87"/>
      <c r="G51" s="82"/>
      <c r="H51" s="83"/>
      <c r="I51" s="83"/>
      <c r="J51" s="81"/>
      <c r="K51" s="133"/>
      <c r="L51" s="134"/>
      <c r="M51" s="133"/>
      <c r="N51" s="135"/>
      <c r="O51" s="134"/>
      <c r="P51" s="133"/>
      <c r="Q51" s="133"/>
      <c r="R51" s="134"/>
      <c r="S51" s="133"/>
      <c r="T51" s="134"/>
      <c r="U51" s="133"/>
      <c r="V51" s="134"/>
      <c r="W51" s="42"/>
      <c r="Y51" s="41"/>
      <c r="Z51" s="39"/>
    </row>
    <row r="52" spans="5:38">
      <c r="E52" s="40"/>
      <c r="F52" s="40"/>
      <c r="G52" s="40"/>
      <c r="J52" s="146"/>
      <c r="K52" s="146"/>
      <c r="M52" s="40"/>
      <c r="N52" s="40"/>
      <c r="P52" s="39"/>
      <c r="Q52" s="41"/>
      <c r="U52" s="40"/>
      <c r="V52" s="40"/>
      <c r="W52" s="40"/>
      <c r="AA52" s="40"/>
      <c r="AB52" s="40"/>
      <c r="AJ52" s="40"/>
      <c r="AK52" s="40"/>
      <c r="AL52" s="40"/>
    </row>
    <row r="53" spans="12:38">
      <c r="L53" s="40"/>
      <c r="M53" s="40"/>
      <c r="N53" s="40"/>
      <c r="O53" s="40"/>
      <c r="Q53" s="41"/>
      <c r="R53" s="182"/>
      <c r="S53" s="182"/>
      <c r="T53" s="182"/>
      <c r="U53" s="40"/>
      <c r="V53" s="40"/>
      <c r="W53" s="40"/>
      <c r="AA53" s="40"/>
      <c r="AB53" s="40"/>
      <c r="AJ53" s="40"/>
      <c r="AK53" s="40"/>
      <c r="AL53" s="40"/>
    </row>
    <row r="54" ht="13.85" spans="6:28">
      <c r="F54" s="47" t="s">
        <v>177</v>
      </c>
      <c r="G54" s="47" t="s">
        <v>178</v>
      </c>
      <c r="H54" s="47"/>
      <c r="I54" s="47"/>
      <c r="J54" s="47"/>
      <c r="K54" s="47"/>
      <c r="L54" s="47"/>
      <c r="M54" s="47"/>
      <c r="N54" s="51"/>
      <c r="O54" s="51"/>
      <c r="P54" s="51"/>
      <c r="Q54" s="41"/>
      <c r="R54" s="182"/>
      <c r="S54" s="182"/>
      <c r="T54" s="182"/>
      <c r="U54" s="40"/>
      <c r="V54" s="40"/>
      <c r="W54" s="40"/>
      <c r="AA54" s="40"/>
      <c r="AB54" s="40"/>
    </row>
    <row r="55" ht="13.85" spans="6:26">
      <c r="F55" s="47"/>
      <c r="G55" s="47" t="s">
        <v>179</v>
      </c>
      <c r="H55" s="47"/>
      <c r="I55" s="47"/>
      <c r="J55" s="47"/>
      <c r="K55" s="47"/>
      <c r="L55" s="47"/>
      <c r="M55" s="47"/>
      <c r="N55" s="47"/>
      <c r="O55" s="51"/>
      <c r="P55" s="51"/>
      <c r="Q55" s="40"/>
      <c r="R55" s="41"/>
      <c r="V55" s="39"/>
      <c r="W55" s="40"/>
      <c r="Z55" s="39"/>
    </row>
    <row r="56" ht="15.75" spans="6:26">
      <c r="F56" s="47"/>
      <c r="G56" s="47" t="s">
        <v>180</v>
      </c>
      <c r="H56" s="47"/>
      <c r="I56" s="147"/>
      <c r="J56" s="147"/>
      <c r="K56" s="147"/>
      <c r="L56" s="147"/>
      <c r="M56" s="147"/>
      <c r="N56" s="147"/>
      <c r="O56" s="147"/>
      <c r="P56" s="47"/>
      <c r="Q56" s="40"/>
      <c r="R56" s="41"/>
      <c r="V56" s="39"/>
      <c r="W56" s="40"/>
      <c r="Z56" s="39"/>
    </row>
    <row r="57" ht="15" spans="6:26">
      <c r="F57" s="47"/>
      <c r="G57" s="47" t="s">
        <v>181</v>
      </c>
      <c r="H57" s="47"/>
      <c r="I57" s="148"/>
      <c r="J57" s="149"/>
      <c r="K57" s="149"/>
      <c r="L57" s="148"/>
      <c r="M57" s="148"/>
      <c r="N57" s="150"/>
      <c r="O57" s="150"/>
      <c r="P57" s="51"/>
      <c r="Q57" s="40"/>
      <c r="R57" s="41"/>
      <c r="V57" s="39"/>
      <c r="W57" s="40"/>
      <c r="Z57" s="39"/>
    </row>
    <row r="58" ht="15" spans="6:26">
      <c r="F58" s="47"/>
      <c r="G58" s="47" t="s">
        <v>182</v>
      </c>
      <c r="H58" s="47"/>
      <c r="I58" s="148"/>
      <c r="J58" s="151"/>
      <c r="K58" s="151"/>
      <c r="L58" s="152"/>
      <c r="M58" s="152"/>
      <c r="N58" s="152"/>
      <c r="O58" s="148"/>
      <c r="P58" s="47"/>
      <c r="Q58" s="40"/>
      <c r="R58" s="41"/>
      <c r="V58" s="39"/>
      <c r="W58" s="40"/>
      <c r="Z58" s="39"/>
    </row>
    <row r="59" ht="15" spans="6:26">
      <c r="F59" s="47"/>
      <c r="G59" s="47"/>
      <c r="H59" s="47"/>
      <c r="I59" s="148"/>
      <c r="J59" s="151"/>
      <c r="K59" s="151"/>
      <c r="L59" s="152"/>
      <c r="M59" s="152"/>
      <c r="N59" s="152"/>
      <c r="O59" s="148"/>
      <c r="P59" s="47"/>
      <c r="Q59" s="40"/>
      <c r="R59" s="41"/>
      <c r="V59" s="39"/>
      <c r="W59" s="40"/>
      <c r="Z59" s="39"/>
    </row>
    <row r="60" ht="13.5" spans="9:26">
      <c r="I60" s="153"/>
      <c r="J60" s="154"/>
      <c r="K60" s="154"/>
      <c r="L60" s="155"/>
      <c r="M60" s="155"/>
      <c r="N60" s="155"/>
      <c r="O60" s="153"/>
      <c r="P60" s="39"/>
      <c r="R60" s="41"/>
      <c r="V60" s="39"/>
      <c r="W60" s="40"/>
      <c r="Z60" s="39"/>
    </row>
    <row r="61" ht="13.5" spans="9:26">
      <c r="I61" s="153"/>
      <c r="J61" s="154"/>
      <c r="K61" s="154"/>
      <c r="L61" s="155"/>
      <c r="M61" s="155"/>
      <c r="N61" s="155"/>
      <c r="O61" s="153"/>
      <c r="P61" s="39"/>
      <c r="R61" s="41"/>
      <c r="V61" s="39"/>
      <c r="W61" s="40"/>
      <c r="Z61" s="39"/>
    </row>
    <row r="62" ht="13.5" spans="9:26">
      <c r="I62" s="153"/>
      <c r="J62" s="154"/>
      <c r="K62" s="154"/>
      <c r="L62" s="155"/>
      <c r="M62" s="155"/>
      <c r="N62" s="155"/>
      <c r="O62" s="153"/>
      <c r="P62" s="39"/>
      <c r="R62" s="41"/>
      <c r="V62" s="39"/>
      <c r="W62" s="40"/>
      <c r="Z62" s="39"/>
    </row>
    <row r="63" ht="13.5" spans="9:15">
      <c r="I63" s="153"/>
      <c r="J63" s="154"/>
      <c r="K63" s="154"/>
      <c r="L63" s="155"/>
      <c r="M63" s="155"/>
      <c r="N63" s="155"/>
      <c r="O63" s="153"/>
    </row>
    <row r="64" ht="13.5" spans="9:15">
      <c r="I64" s="153"/>
      <c r="J64" s="154"/>
      <c r="K64" s="154"/>
      <c r="L64" s="155"/>
      <c r="M64" s="155"/>
      <c r="N64" s="155"/>
      <c r="O64" s="153"/>
    </row>
    <row r="65" ht="13.5" spans="9:15">
      <c r="I65" s="153"/>
      <c r="J65" s="186"/>
      <c r="K65" s="154"/>
      <c r="L65" s="155"/>
      <c r="M65" s="155"/>
      <c r="N65" s="155"/>
      <c r="O65" s="153"/>
    </row>
    <row r="66" ht="13.5" spans="9:15">
      <c r="I66" s="153"/>
      <c r="J66" s="154"/>
      <c r="K66" s="154"/>
      <c r="L66" s="155"/>
      <c r="M66" s="155"/>
      <c r="N66" s="155"/>
      <c r="O66" s="153"/>
    </row>
    <row r="67" ht="13.5" spans="9:15">
      <c r="I67" s="187"/>
      <c r="J67" s="188"/>
      <c r="K67" s="188"/>
      <c r="L67" s="188"/>
      <c r="M67" s="188"/>
      <c r="N67" s="188"/>
      <c r="O67" s="188"/>
    </row>
    <row r="68" ht="13.5" spans="9:15">
      <c r="I68" s="153"/>
      <c r="J68" s="153"/>
      <c r="K68" s="155"/>
      <c r="L68" s="155"/>
      <c r="M68" s="155"/>
      <c r="N68" s="155"/>
      <c r="O68" s="153"/>
    </row>
    <row r="69" ht="13.5" spans="9:15">
      <c r="I69" s="153"/>
      <c r="J69" s="153"/>
      <c r="K69" s="155"/>
      <c r="L69" s="155"/>
      <c r="M69" s="155"/>
      <c r="N69" s="155"/>
      <c r="O69" s="153"/>
    </row>
    <row r="70" ht="13.5" spans="9:15">
      <c r="I70" s="153"/>
      <c r="J70" s="153"/>
      <c r="K70" s="155"/>
      <c r="L70" s="155"/>
      <c r="M70" s="189"/>
      <c r="N70" s="189"/>
      <c r="O70" s="153"/>
    </row>
    <row r="71" ht="13.5" spans="9:15">
      <c r="I71" s="153"/>
      <c r="J71" s="153"/>
      <c r="K71" s="190"/>
      <c r="L71" s="155"/>
      <c r="M71" s="189"/>
      <c r="N71" s="189"/>
      <c r="O71" s="153"/>
    </row>
    <row r="72" ht="13.5" spans="9:15">
      <c r="I72" s="153"/>
      <c r="J72" s="153"/>
      <c r="K72" s="190"/>
      <c r="L72" s="155"/>
      <c r="M72" s="155"/>
      <c r="N72" s="155"/>
      <c r="O72" s="153"/>
    </row>
    <row r="73" ht="13.5" spans="9:15">
      <c r="I73" s="153"/>
      <c r="J73" s="153"/>
      <c r="K73" s="190"/>
      <c r="L73" s="155"/>
      <c r="M73" s="189"/>
      <c r="N73" s="155"/>
      <c r="O73" s="153"/>
    </row>
    <row r="74" ht="13.5" spans="9:44">
      <c r="I74" s="153"/>
      <c r="J74" s="153"/>
      <c r="K74" s="190"/>
      <c r="L74" s="155"/>
      <c r="M74" s="189"/>
      <c r="N74" s="155"/>
      <c r="O74" s="153"/>
      <c r="P74" s="39"/>
      <c r="S74" s="39"/>
      <c r="T74" s="39"/>
      <c r="U74" s="39"/>
      <c r="V74" s="39"/>
      <c r="X74" s="39"/>
      <c r="Y74" s="39"/>
      <c r="Z74" s="39"/>
      <c r="AL74" s="99"/>
      <c r="AM74" s="99"/>
      <c r="AN74" s="99"/>
      <c r="AO74" s="99"/>
      <c r="AP74" s="99"/>
      <c r="AQ74" s="99"/>
      <c r="AR74" s="99"/>
    </row>
    <row r="75" ht="13.5" spans="9:15">
      <c r="I75" s="153"/>
      <c r="J75" s="153"/>
      <c r="K75" s="190"/>
      <c r="L75" s="155"/>
      <c r="M75" s="189"/>
      <c r="N75" s="155"/>
      <c r="O75" s="153"/>
    </row>
    <row r="76" ht="13.5" spans="9:15">
      <c r="I76" s="153"/>
      <c r="J76" s="153"/>
      <c r="K76" s="155"/>
      <c r="L76" s="155"/>
      <c r="M76" s="189"/>
      <c r="N76" s="155"/>
      <c r="O76" s="153"/>
    </row>
    <row r="77" ht="13.5" spans="9:15">
      <c r="I77" s="153"/>
      <c r="J77" s="153"/>
      <c r="K77" s="155"/>
      <c r="L77" s="155"/>
      <c r="M77" s="189"/>
      <c r="N77" s="155"/>
      <c r="O77" s="153"/>
    </row>
    <row r="78" ht="13.5" spans="9:15">
      <c r="I78" s="153"/>
      <c r="J78" s="153"/>
      <c r="K78" s="155"/>
      <c r="L78" s="155"/>
      <c r="M78" s="189"/>
      <c r="N78" s="155"/>
      <c r="O78" s="153"/>
    </row>
    <row r="79" ht="13.5" spans="9:15">
      <c r="I79" s="153"/>
      <c r="J79" s="153"/>
      <c r="K79" s="155"/>
      <c r="L79" s="155"/>
      <c r="M79" s="155"/>
      <c r="N79" s="155"/>
      <c r="O79" s="153"/>
    </row>
    <row r="80" ht="13.5" spans="9:15">
      <c r="I80" s="153"/>
      <c r="J80" s="153"/>
      <c r="K80" s="155"/>
      <c r="L80" s="155"/>
      <c r="M80" s="155"/>
      <c r="N80" s="155"/>
      <c r="O80" s="153"/>
    </row>
    <row r="81" ht="13.5" spans="9:15">
      <c r="I81" s="153"/>
      <c r="J81" s="153"/>
      <c r="K81" s="155"/>
      <c r="L81" s="155"/>
      <c r="M81" s="155"/>
      <c r="N81" s="155"/>
      <c r="O81" s="153"/>
    </row>
    <row r="82" ht="13.5" spans="9:15">
      <c r="I82" s="153"/>
      <c r="J82" s="153"/>
      <c r="K82" s="155"/>
      <c r="L82" s="155"/>
      <c r="M82" s="155"/>
      <c r="N82" s="155"/>
      <c r="O82" s="153"/>
    </row>
    <row r="83" ht="13.5" spans="9:15">
      <c r="I83" s="153"/>
      <c r="J83" s="153"/>
      <c r="K83" s="155"/>
      <c r="L83" s="155"/>
      <c r="M83" s="155"/>
      <c r="N83" s="155"/>
      <c r="O83" s="153"/>
    </row>
    <row r="84" ht="13.5" spans="9:15">
      <c r="I84" s="191"/>
      <c r="J84" s="191"/>
      <c r="K84" s="192"/>
      <c r="L84" s="192"/>
      <c r="M84" s="192"/>
      <c r="N84" s="192"/>
      <c r="O84" s="191"/>
    </row>
  </sheetData>
  <mergeCells count="22">
    <mergeCell ref="G9:H9"/>
    <mergeCell ref="S27:T27"/>
    <mergeCell ref="S28:T28"/>
    <mergeCell ref="K29:L29"/>
    <mergeCell ref="O29:Q29"/>
    <mergeCell ref="R29:S29"/>
    <mergeCell ref="T29:U29"/>
    <mergeCell ref="K32:L32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I67:O67"/>
    <mergeCell ref="F30:F31"/>
    <mergeCell ref="H27:H30"/>
    <mergeCell ref="V29:V31"/>
    <mergeCell ref="W29:W31"/>
  </mergeCells>
  <conditionalFormatting sqref="K52">
    <cfRule type="cellIs" dxfId="0" priority="4" stopIfTrue="1" operator="lessThan">
      <formula>$U$33</formula>
    </cfRule>
  </conditionalFormatting>
  <conditionalFormatting sqref="D33:D50">
    <cfRule type="cellIs" dxfId="1" priority="1" stopIfTrue="1" operator="notBetween">
      <formula>$C33</formula>
      <formula>$D33</formula>
    </cfRule>
  </conditionalFormatting>
  <pageMargins left="0.22" right="0.21" top="0.57" bottom="0.748031496062992" header="0.31496062992126" footer="0.31496062992126"/>
  <pageSetup paperSize="9" scale="5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30"/>
  <sheetViews>
    <sheetView workbookViewId="0">
      <selection activeCell="M33" sqref="M33"/>
    </sheetView>
  </sheetViews>
  <sheetFormatPr defaultColWidth="9" defaultRowHeight="12.75"/>
  <cols>
    <col min="5" max="5" width="12.3628318584071" customWidth="1"/>
    <col min="6" max="6" width="10.8141592920354" customWidth="1"/>
    <col min="7" max="7" width="11.5398230088496" customWidth="1"/>
    <col min="12" max="12" width="10.9026548672566" customWidth="1"/>
    <col min="13" max="13" width="14.4513274336283" customWidth="1"/>
    <col min="14" max="14" width="14.8141592920354" customWidth="1"/>
  </cols>
  <sheetData>
    <row r="2" ht="13.85" spans="1:8">
      <c r="A2" s="1" t="s">
        <v>183</v>
      </c>
      <c r="B2" s="1"/>
      <c r="G2" s="2" t="s">
        <v>184</v>
      </c>
      <c r="H2" s="34"/>
    </row>
    <row r="3" ht="13.85" spans="1:10">
      <c r="A3" s="1" t="s">
        <v>185</v>
      </c>
      <c r="B3" s="1"/>
      <c r="G3" s="4"/>
      <c r="H3" s="4"/>
      <c r="I3" s="4"/>
      <c r="J3" s="4"/>
    </row>
    <row r="4" ht="13.85" spans="1:10">
      <c r="A4" s="2" t="s">
        <v>186</v>
      </c>
      <c r="B4" s="13"/>
      <c r="E4" s="4"/>
      <c r="F4" s="4"/>
      <c r="G4" s="4"/>
      <c r="H4" s="4"/>
      <c r="I4" s="4"/>
      <c r="J4" s="4"/>
    </row>
    <row r="5" ht="13.85" spans="1:14">
      <c r="A5" s="2" t="s">
        <v>187</v>
      </c>
      <c r="B5" s="6" t="s">
        <v>188</v>
      </c>
      <c r="C5" s="7" t="s">
        <v>189</v>
      </c>
      <c r="D5" s="7" t="s">
        <v>128</v>
      </c>
      <c r="E5" s="7" t="s">
        <v>190</v>
      </c>
      <c r="F5" s="7" t="s">
        <v>191</v>
      </c>
      <c r="G5" s="7" t="s">
        <v>110</v>
      </c>
      <c r="H5" s="7" t="s">
        <v>192</v>
      </c>
      <c r="I5" s="7" t="s">
        <v>193</v>
      </c>
      <c r="J5" s="7" t="s">
        <v>194</v>
      </c>
      <c r="K5" s="35" t="s">
        <v>195</v>
      </c>
      <c r="L5" s="2" t="s">
        <v>187</v>
      </c>
      <c r="M5" s="7" t="s">
        <v>196</v>
      </c>
      <c r="N5" s="7" t="s">
        <v>197</v>
      </c>
    </row>
    <row r="6" ht="13.85" spans="1:14">
      <c r="A6" s="2">
        <v>0</v>
      </c>
      <c r="B6" s="2"/>
      <c r="C6" s="1"/>
      <c r="D6" s="1"/>
      <c r="E6" s="1"/>
      <c r="F6" s="1"/>
      <c r="G6" s="1"/>
      <c r="H6" s="1"/>
      <c r="I6" s="1"/>
      <c r="J6" s="1"/>
      <c r="K6" s="13"/>
      <c r="L6" s="36">
        <v>0</v>
      </c>
      <c r="M6" s="9">
        <v>0.2</v>
      </c>
      <c r="N6" s="13"/>
    </row>
    <row r="7" ht="13.85" spans="1:14">
      <c r="A7" s="2">
        <v>1</v>
      </c>
      <c r="B7" s="2"/>
      <c r="C7" s="1"/>
      <c r="D7" s="1"/>
      <c r="E7" s="1"/>
      <c r="F7" s="1"/>
      <c r="G7" s="1"/>
      <c r="H7" s="1"/>
      <c r="I7" s="1"/>
      <c r="J7" s="1"/>
      <c r="K7" s="13"/>
      <c r="L7" s="36">
        <v>1</v>
      </c>
      <c r="M7" s="9">
        <v>0.25</v>
      </c>
      <c r="N7" s="9">
        <v>1.2</v>
      </c>
    </row>
    <row r="8" ht="13.85" spans="1:14">
      <c r="A8" s="2">
        <v>2</v>
      </c>
      <c r="B8" s="2"/>
      <c r="C8" s="1"/>
      <c r="D8" s="1"/>
      <c r="E8" s="1"/>
      <c r="F8" s="1"/>
      <c r="G8" s="1"/>
      <c r="H8" s="1"/>
      <c r="I8" s="1"/>
      <c r="J8" s="1"/>
      <c r="K8" s="13"/>
      <c r="L8" s="36">
        <v>2</v>
      </c>
      <c r="M8" s="9">
        <v>0.23</v>
      </c>
      <c r="N8" s="9">
        <v>1.4</v>
      </c>
    </row>
    <row r="9" ht="13.85" spans="1:14">
      <c r="A9" s="2">
        <v>3</v>
      </c>
      <c r="B9" s="2"/>
      <c r="C9" s="1"/>
      <c r="D9" s="1"/>
      <c r="E9" s="1"/>
      <c r="F9" s="1"/>
      <c r="G9" s="1"/>
      <c r="H9" s="1"/>
      <c r="I9" s="1"/>
      <c r="J9" s="1"/>
      <c r="K9" s="13"/>
      <c r="L9" s="36">
        <v>3</v>
      </c>
      <c r="M9" s="37">
        <v>0.2</v>
      </c>
      <c r="N9" s="9">
        <v>1.35</v>
      </c>
    </row>
    <row r="10" ht="13.85" spans="1:14">
      <c r="A10" s="2">
        <v>4</v>
      </c>
      <c r="B10" s="2"/>
      <c r="C10" s="1"/>
      <c r="D10" s="1"/>
      <c r="E10" s="1"/>
      <c r="F10" s="1"/>
      <c r="G10" s="1"/>
      <c r="H10" s="1"/>
      <c r="I10" s="1"/>
      <c r="J10" s="1"/>
      <c r="K10" s="13"/>
      <c r="L10" s="36">
        <v>4</v>
      </c>
      <c r="M10" s="9">
        <v>0.18</v>
      </c>
      <c r="N10" s="9">
        <v>1.33</v>
      </c>
    </row>
    <row r="11" ht="13.85" spans="1:14">
      <c r="A11" s="2">
        <v>5</v>
      </c>
      <c r="B11" s="2"/>
      <c r="C11" s="1"/>
      <c r="D11" s="1"/>
      <c r="E11" s="1"/>
      <c r="F11" s="1"/>
      <c r="G11" s="1"/>
      <c r="H11" s="1"/>
      <c r="I11" s="1"/>
      <c r="J11" s="1"/>
      <c r="K11" s="13"/>
      <c r="L11" s="36">
        <v>5</v>
      </c>
      <c r="M11" s="9">
        <v>0.16</v>
      </c>
      <c r="N11" s="37">
        <v>1.3</v>
      </c>
    </row>
    <row r="12" ht="13.85" spans="1:14">
      <c r="A12" s="2">
        <v>6</v>
      </c>
      <c r="B12" s="2"/>
      <c r="C12" s="1"/>
      <c r="D12" s="1"/>
      <c r="E12" s="1"/>
      <c r="F12" s="1"/>
      <c r="G12" s="1"/>
      <c r="H12" s="1"/>
      <c r="I12" s="1"/>
      <c r="J12" s="1"/>
      <c r="K12" s="13"/>
      <c r="L12" s="36">
        <v>6</v>
      </c>
      <c r="M12" s="9">
        <v>0.14</v>
      </c>
      <c r="N12" s="9">
        <v>1.25</v>
      </c>
    </row>
    <row r="13" ht="13.85" spans="1:14">
      <c r="A13" s="2">
        <v>7</v>
      </c>
      <c r="B13" s="2"/>
      <c r="C13" s="1"/>
      <c r="D13" s="1"/>
      <c r="E13" s="1"/>
      <c r="F13" s="1"/>
      <c r="G13" s="1"/>
      <c r="H13" s="1"/>
      <c r="I13" s="1"/>
      <c r="J13" s="1"/>
      <c r="K13" s="13"/>
      <c r="L13" s="36">
        <v>7</v>
      </c>
      <c r="M13" s="9">
        <v>0.13</v>
      </c>
      <c r="N13" s="37">
        <v>1.21</v>
      </c>
    </row>
    <row r="14" ht="13.85" spans="1:14">
      <c r="A14" s="2">
        <v>8</v>
      </c>
      <c r="B14" s="2"/>
      <c r="C14" s="1"/>
      <c r="D14" s="1"/>
      <c r="E14" s="1"/>
      <c r="F14" s="1"/>
      <c r="G14" s="1"/>
      <c r="H14" s="1"/>
      <c r="I14" s="1"/>
      <c r="J14" s="1"/>
      <c r="K14" s="13"/>
      <c r="L14" s="36">
        <v>8</v>
      </c>
      <c r="M14" s="9">
        <v>0.12</v>
      </c>
      <c r="N14" s="9">
        <v>1.19</v>
      </c>
    </row>
    <row r="15" ht="13.85" spans="1:14">
      <c r="A15" s="2">
        <v>9</v>
      </c>
      <c r="B15" s="2"/>
      <c r="C15" s="1"/>
      <c r="D15" s="1"/>
      <c r="E15" s="1"/>
      <c r="F15" s="1"/>
      <c r="G15" s="1"/>
      <c r="H15" s="1"/>
      <c r="I15" s="1"/>
      <c r="J15" s="1"/>
      <c r="K15" s="13"/>
      <c r="L15" s="36">
        <v>9</v>
      </c>
      <c r="M15" s="37">
        <v>0.11</v>
      </c>
      <c r="N15" s="9">
        <v>1.17</v>
      </c>
    </row>
    <row r="16" ht="13.85" spans="1:14">
      <c r="A16" s="2">
        <v>10</v>
      </c>
      <c r="B16" s="2"/>
      <c r="C16" s="1"/>
      <c r="D16" s="1"/>
      <c r="E16" s="1"/>
      <c r="F16" s="1"/>
      <c r="G16" s="1"/>
      <c r="H16" s="1"/>
      <c r="I16" s="1"/>
      <c r="J16" s="1"/>
      <c r="K16" s="13"/>
      <c r="L16" s="36">
        <v>10</v>
      </c>
      <c r="M16" s="37">
        <v>0.1</v>
      </c>
      <c r="N16" s="9">
        <v>1.15</v>
      </c>
    </row>
    <row r="17" ht="13.85" spans="1:14">
      <c r="A17" s="2">
        <v>11</v>
      </c>
      <c r="B17" s="2"/>
      <c r="C17" s="1"/>
      <c r="D17" s="1"/>
      <c r="E17" s="1"/>
      <c r="F17" s="1"/>
      <c r="G17" s="1"/>
      <c r="H17" s="1"/>
      <c r="I17" s="1"/>
      <c r="J17" s="1"/>
      <c r="K17" s="13"/>
      <c r="L17" s="36">
        <v>11</v>
      </c>
      <c r="M17" s="9">
        <v>0.09</v>
      </c>
      <c r="N17" s="9">
        <v>1.13</v>
      </c>
    </row>
    <row r="18" ht="13.85" spans="1:14">
      <c r="A18" s="2">
        <v>12</v>
      </c>
      <c r="B18" s="2"/>
      <c r="C18" s="1"/>
      <c r="D18" s="1"/>
      <c r="E18" s="1"/>
      <c r="F18" s="1"/>
      <c r="G18" s="1"/>
      <c r="H18" s="1"/>
      <c r="I18" s="1"/>
      <c r="J18" s="1"/>
      <c r="K18" s="13"/>
      <c r="L18" s="36">
        <v>12</v>
      </c>
      <c r="M18" s="9">
        <v>0.08</v>
      </c>
      <c r="N18" s="9">
        <v>1.11</v>
      </c>
    </row>
    <row r="19" ht="13.85" spans="1:14">
      <c r="A19" s="2">
        <v>13</v>
      </c>
      <c r="B19" s="2"/>
      <c r="C19" s="1"/>
      <c r="D19" s="1"/>
      <c r="E19" s="1"/>
      <c r="F19" s="1"/>
      <c r="G19" s="1"/>
      <c r="H19" s="1"/>
      <c r="I19" s="1"/>
      <c r="J19" s="1"/>
      <c r="K19" s="13"/>
      <c r="L19" s="36">
        <v>13</v>
      </c>
      <c r="M19" s="9">
        <v>0.07</v>
      </c>
      <c r="N19" s="9">
        <v>1.09</v>
      </c>
    </row>
    <row r="20" ht="13.85" spans="1:14">
      <c r="A20" s="2">
        <v>14</v>
      </c>
      <c r="B20" s="2"/>
      <c r="C20" s="1"/>
      <c r="D20" s="1"/>
      <c r="E20" s="1"/>
      <c r="F20" s="1"/>
      <c r="G20" s="1"/>
      <c r="H20" s="1"/>
      <c r="I20" s="1"/>
      <c r="J20" s="1"/>
      <c r="K20" s="13"/>
      <c r="L20" s="36">
        <v>14</v>
      </c>
      <c r="M20" s="9">
        <v>0.05</v>
      </c>
      <c r="N20" s="9">
        <v>1.07</v>
      </c>
    </row>
    <row r="21" ht="13.85" spans="1:14">
      <c r="A21" s="2">
        <v>15</v>
      </c>
      <c r="B21" s="2"/>
      <c r="C21" s="1"/>
      <c r="D21" s="1"/>
      <c r="E21" s="1"/>
      <c r="F21" s="1"/>
      <c r="G21" s="1"/>
      <c r="H21" s="1"/>
      <c r="I21" s="1"/>
      <c r="J21" s="1"/>
      <c r="K21" s="13"/>
      <c r="L21" s="36">
        <v>15</v>
      </c>
      <c r="M21" s="9">
        <v>0.03</v>
      </c>
      <c r="N21" s="9">
        <v>1.05</v>
      </c>
    </row>
    <row r="22" ht="13.85" spans="1:14">
      <c r="A22" s="2">
        <v>16</v>
      </c>
      <c r="B22" s="2"/>
      <c r="C22" s="1"/>
      <c r="D22" s="1"/>
      <c r="E22" s="1"/>
      <c r="F22" s="1"/>
      <c r="G22" s="1"/>
      <c r="H22" s="1"/>
      <c r="I22" s="1"/>
      <c r="J22" s="1"/>
      <c r="K22" s="13"/>
      <c r="L22" s="36">
        <v>16</v>
      </c>
      <c r="M22" s="9">
        <v>0.01</v>
      </c>
      <c r="N22" s="9">
        <v>1.02</v>
      </c>
    </row>
    <row r="23" ht="13.85" spans="1:14">
      <c r="A23" s="2">
        <v>17</v>
      </c>
      <c r="B23" s="2"/>
      <c r="C23" s="1"/>
      <c r="D23" s="1"/>
      <c r="E23" s="12"/>
      <c r="F23" s="1"/>
      <c r="G23" s="1"/>
      <c r="H23" s="1"/>
      <c r="I23" s="1"/>
      <c r="J23" s="1"/>
      <c r="K23" s="13"/>
      <c r="L23" s="36">
        <v>17</v>
      </c>
      <c r="M23" s="9">
        <v>0.005</v>
      </c>
      <c r="N23" s="9">
        <v>1</v>
      </c>
    </row>
    <row r="24" ht="13.85" spans="1:14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M24" s="38"/>
      <c r="N24" s="38"/>
    </row>
    <row r="25" ht="13.85" spans="1:14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M25" s="38"/>
      <c r="N25" s="38"/>
    </row>
    <row r="26" ht="13.85" spans="1:14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M26" s="38"/>
      <c r="N26" s="38"/>
    </row>
    <row r="28" ht="13.85" spans="3:4">
      <c r="C28" s="4" t="s">
        <v>198</v>
      </c>
      <c r="D28" t="s">
        <v>199</v>
      </c>
    </row>
    <row r="29" spans="4:4">
      <c r="D29" t="s">
        <v>200</v>
      </c>
    </row>
    <row r="30" spans="4:4">
      <c r="D30" t="s">
        <v>201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6"/>
  <sheetViews>
    <sheetView workbookViewId="0">
      <selection activeCell="K36" sqref="K36"/>
    </sheetView>
  </sheetViews>
  <sheetFormatPr defaultColWidth="9" defaultRowHeight="12.75"/>
  <cols>
    <col min="1" max="1" width="13.9026548672566" customWidth="1"/>
    <col min="5" max="5" width="11.7256637168142" customWidth="1"/>
    <col min="6" max="6" width="14.1769911504425" customWidth="1"/>
    <col min="7" max="7" width="12.4513274336283" customWidth="1"/>
    <col min="8" max="8" width="12.8141592920354"/>
    <col min="12" max="13" width="14.5398230088496" customWidth="1"/>
    <col min="14" max="14" width="16.5398230088496" customWidth="1"/>
  </cols>
  <sheetData>
    <row r="2" ht="13.85" spans="1:8">
      <c r="A2" s="1" t="s">
        <v>183</v>
      </c>
      <c r="B2" s="1">
        <v>2592</v>
      </c>
      <c r="D2" s="2" t="s">
        <v>202</v>
      </c>
      <c r="E2" s="2">
        <v>2580</v>
      </c>
      <c r="G2" s="2" t="s">
        <v>184</v>
      </c>
      <c r="H2" s="3">
        <f>G23-E4</f>
        <v>39453.5933429812</v>
      </c>
    </row>
    <row r="3" ht="13.85" spans="1:11">
      <c r="A3" s="1" t="s">
        <v>185</v>
      </c>
      <c r="B3" s="1">
        <v>167</v>
      </c>
      <c r="D3" s="2" t="s">
        <v>203</v>
      </c>
      <c r="E3" s="2">
        <v>7.7</v>
      </c>
      <c r="H3" s="4"/>
      <c r="I3" s="4"/>
      <c r="J3" s="4"/>
      <c r="K3" s="4"/>
    </row>
    <row r="4" ht="13.85" spans="1:11">
      <c r="A4" s="2" t="s">
        <v>186</v>
      </c>
      <c r="B4" s="2" t="s">
        <v>204</v>
      </c>
      <c r="D4" s="2" t="s">
        <v>205</v>
      </c>
      <c r="E4" s="30">
        <f>43070*E3/69.1</f>
        <v>4799.40665701881</v>
      </c>
      <c r="F4" s="4"/>
      <c r="G4" s="4"/>
      <c r="H4" s="4"/>
      <c r="I4" s="4"/>
      <c r="J4" s="4"/>
      <c r="K4" s="4"/>
    </row>
    <row r="5" ht="13.85" spans="1:14">
      <c r="A5" s="2" t="s">
        <v>187</v>
      </c>
      <c r="B5" s="6" t="s">
        <v>188</v>
      </c>
      <c r="C5" s="7" t="s">
        <v>189</v>
      </c>
      <c r="D5" s="7" t="s">
        <v>128</v>
      </c>
      <c r="E5" s="7" t="s">
        <v>190</v>
      </c>
      <c r="F5" s="7" t="s">
        <v>191</v>
      </c>
      <c r="G5" s="7" t="s">
        <v>110</v>
      </c>
      <c r="H5" s="7" t="s">
        <v>192</v>
      </c>
      <c r="I5" s="7" t="s">
        <v>193</v>
      </c>
      <c r="J5" s="14" t="s">
        <v>194</v>
      </c>
      <c r="K5" s="1" t="s">
        <v>195</v>
      </c>
      <c r="L5" s="22" t="s">
        <v>206</v>
      </c>
      <c r="M5" s="22" t="s">
        <v>207</v>
      </c>
      <c r="N5" s="22" t="s">
        <v>208</v>
      </c>
    </row>
    <row r="6" ht="13.85" spans="1:13">
      <c r="A6" s="2">
        <v>0</v>
      </c>
      <c r="B6" s="2">
        <v>9470</v>
      </c>
      <c r="C6" s="1">
        <v>89.5</v>
      </c>
      <c r="D6" s="1">
        <v>4.96</v>
      </c>
      <c r="E6" s="9">
        <v>0.194</v>
      </c>
      <c r="F6" s="1">
        <v>59</v>
      </c>
      <c r="G6" s="1">
        <f>C6*F6</f>
        <v>5280.5</v>
      </c>
      <c r="H6" s="1"/>
      <c r="I6" s="12"/>
      <c r="J6" s="1">
        <v>300</v>
      </c>
      <c r="K6" s="1"/>
      <c r="L6" s="23">
        <f>E6-评价标准!M6</f>
        <v>-0.00600000000000001</v>
      </c>
      <c r="M6" s="23"/>
    </row>
    <row r="7" ht="13.85" spans="1:14">
      <c r="A7" s="2">
        <v>1</v>
      </c>
      <c r="B7" s="2">
        <v>9053</v>
      </c>
      <c r="C7" s="1">
        <v>89.6</v>
      </c>
      <c r="D7" s="1">
        <v>4.49</v>
      </c>
      <c r="E7" s="9">
        <v>0.226</v>
      </c>
      <c r="F7" s="1">
        <v>64</v>
      </c>
      <c r="G7" s="1">
        <f>C7*F7</f>
        <v>5734.4</v>
      </c>
      <c r="H7" s="9">
        <v>1.09</v>
      </c>
      <c r="I7" s="12">
        <v>389</v>
      </c>
      <c r="J7" s="1">
        <f>J6+I7</f>
        <v>689</v>
      </c>
      <c r="K7" s="1">
        <v>4</v>
      </c>
      <c r="L7" s="23">
        <f>E7-评价标准!M7</f>
        <v>-0.024</v>
      </c>
      <c r="M7" s="23">
        <f>N7-评价标准!N7</f>
        <v>-0.114042230849351</v>
      </c>
      <c r="N7" s="24">
        <f>G7/G6</f>
        <v>1.08595776915065</v>
      </c>
    </row>
    <row r="8" ht="13.85" spans="1:14">
      <c r="A8" s="2">
        <v>2</v>
      </c>
      <c r="B8" s="2">
        <v>9726</v>
      </c>
      <c r="C8" s="1">
        <v>91.1</v>
      </c>
      <c r="D8" s="1">
        <v>3.96</v>
      </c>
      <c r="E8" s="9">
        <v>0.203</v>
      </c>
      <c r="F8" s="1">
        <v>78</v>
      </c>
      <c r="G8" s="1">
        <f>C8*F8</f>
        <v>7105.8</v>
      </c>
      <c r="H8" s="9">
        <v>1.24</v>
      </c>
      <c r="I8" s="12">
        <v>560</v>
      </c>
      <c r="J8" s="1">
        <f t="shared" ref="J8:J23" si="0">J7+I8</f>
        <v>1249</v>
      </c>
      <c r="K8" s="1">
        <v>5</v>
      </c>
      <c r="L8" s="23">
        <f>E8-评价标准!M8</f>
        <v>-0.027</v>
      </c>
      <c r="M8" s="23">
        <f>N8-评价标准!N8</f>
        <v>-0.160846819196429</v>
      </c>
      <c r="N8" s="24">
        <f t="shared" ref="N8:N23" si="1">G8/G7</f>
        <v>1.23915318080357</v>
      </c>
    </row>
    <row r="9" ht="13.85" spans="1:14">
      <c r="A9" s="2">
        <v>3</v>
      </c>
      <c r="B9" s="2">
        <v>11577</v>
      </c>
      <c r="C9" s="1">
        <v>93.9</v>
      </c>
      <c r="D9" s="1">
        <v>4.19</v>
      </c>
      <c r="E9" s="9">
        <v>0.179</v>
      </c>
      <c r="F9" s="1">
        <v>96</v>
      </c>
      <c r="G9" s="1">
        <f t="shared" ref="G9:G23" si="2">C9*F9</f>
        <v>9014.4</v>
      </c>
      <c r="H9" s="9">
        <v>1.27</v>
      </c>
      <c r="I9" s="12">
        <v>717</v>
      </c>
      <c r="J9" s="1">
        <f t="shared" si="0"/>
        <v>1966</v>
      </c>
      <c r="K9" s="1">
        <v>4.5</v>
      </c>
      <c r="L9" s="23">
        <f>E9-评价标准!M9</f>
        <v>-0.021</v>
      </c>
      <c r="M9" s="23">
        <f>N9-评价标准!N9</f>
        <v>-0.0814025162543273</v>
      </c>
      <c r="N9" s="24">
        <f t="shared" si="1"/>
        <v>1.26859748374567</v>
      </c>
    </row>
    <row r="10" ht="13.85" spans="1:14">
      <c r="A10" s="2">
        <v>4</v>
      </c>
      <c r="B10" s="2">
        <v>14065</v>
      </c>
      <c r="C10" s="1">
        <v>96</v>
      </c>
      <c r="D10" s="1">
        <v>4.38</v>
      </c>
      <c r="E10" s="20">
        <v>0.13</v>
      </c>
      <c r="F10" s="1">
        <v>128</v>
      </c>
      <c r="G10" s="1">
        <f t="shared" si="2"/>
        <v>12288</v>
      </c>
      <c r="H10" s="9">
        <v>1.36</v>
      </c>
      <c r="I10" s="12">
        <v>939</v>
      </c>
      <c r="J10" s="1">
        <f t="shared" si="0"/>
        <v>2905</v>
      </c>
      <c r="K10" s="1">
        <v>2</v>
      </c>
      <c r="L10" s="23">
        <f>E10-评价标准!M10</f>
        <v>-0.05</v>
      </c>
      <c r="M10" s="23">
        <f>N10-评价标准!N10</f>
        <v>0.0331522896698613</v>
      </c>
      <c r="N10" s="24">
        <f t="shared" si="1"/>
        <v>1.36315228966986</v>
      </c>
    </row>
    <row r="11" ht="13.85" spans="1:14">
      <c r="A11" s="2">
        <v>5</v>
      </c>
      <c r="B11" s="2">
        <v>15897</v>
      </c>
      <c r="C11" s="1">
        <v>99.5</v>
      </c>
      <c r="D11" s="1">
        <v>4.82</v>
      </c>
      <c r="E11" s="9">
        <v>0.165</v>
      </c>
      <c r="F11" s="1">
        <v>155</v>
      </c>
      <c r="G11" s="1">
        <f t="shared" si="2"/>
        <v>15422.5</v>
      </c>
      <c r="H11" s="9">
        <v>1.26</v>
      </c>
      <c r="I11" s="12">
        <v>1208</v>
      </c>
      <c r="J11" s="1">
        <f t="shared" si="0"/>
        <v>4113</v>
      </c>
      <c r="K11" s="1">
        <v>4</v>
      </c>
      <c r="L11" s="23">
        <f>E11-评价标准!M11</f>
        <v>0.005</v>
      </c>
      <c r="M11" s="23">
        <f>N11-评价标准!N11</f>
        <v>-0.0449137369791668</v>
      </c>
      <c r="N11" s="24">
        <f t="shared" si="1"/>
        <v>1.25508626302083</v>
      </c>
    </row>
    <row r="12" ht="13.85" spans="1:14">
      <c r="A12" s="2">
        <v>6</v>
      </c>
      <c r="B12" s="2">
        <v>16911</v>
      </c>
      <c r="C12" s="1">
        <v>102.7</v>
      </c>
      <c r="D12" s="1">
        <v>5.05</v>
      </c>
      <c r="E12" s="9">
        <v>0.169</v>
      </c>
      <c r="F12" s="1">
        <v>177</v>
      </c>
      <c r="G12" s="1">
        <f t="shared" si="2"/>
        <v>18177.9</v>
      </c>
      <c r="H12" s="9">
        <v>1.18</v>
      </c>
      <c r="I12" s="12">
        <v>1202</v>
      </c>
      <c r="J12" s="1">
        <f t="shared" si="0"/>
        <v>5315</v>
      </c>
      <c r="K12" s="1">
        <v>4</v>
      </c>
      <c r="L12" s="23">
        <f>E12-评价标准!M12</f>
        <v>0.029</v>
      </c>
      <c r="M12" s="23">
        <f>N12-评价标准!N12</f>
        <v>-0.0713389528286594</v>
      </c>
      <c r="N12" s="24">
        <f t="shared" si="1"/>
        <v>1.17866104717134</v>
      </c>
    </row>
    <row r="13" ht="13.85" spans="1:14">
      <c r="A13" s="2">
        <v>7</v>
      </c>
      <c r="B13" s="2">
        <v>18581</v>
      </c>
      <c r="C13" s="1">
        <v>105.4</v>
      </c>
      <c r="D13" s="1">
        <v>5.53</v>
      </c>
      <c r="E13" s="9">
        <v>0.139</v>
      </c>
      <c r="F13" s="1">
        <v>202</v>
      </c>
      <c r="G13" s="1">
        <f t="shared" si="2"/>
        <v>21290.8</v>
      </c>
      <c r="H13" s="9">
        <v>1.17</v>
      </c>
      <c r="I13" s="12">
        <v>1248</v>
      </c>
      <c r="J13" s="1">
        <f t="shared" si="0"/>
        <v>6563</v>
      </c>
      <c r="K13" s="1">
        <v>4</v>
      </c>
      <c r="L13" s="23">
        <f>E13-评价标准!M13</f>
        <v>0.00900000000000001</v>
      </c>
      <c r="M13" s="23">
        <f>N13-评价标准!N13</f>
        <v>-0.0387535964000241</v>
      </c>
      <c r="N13" s="24">
        <f t="shared" si="1"/>
        <v>1.17124640359998</v>
      </c>
    </row>
    <row r="14" ht="13.85" spans="1:14">
      <c r="A14" s="2">
        <v>8</v>
      </c>
      <c r="B14" s="2">
        <v>19727</v>
      </c>
      <c r="C14" s="1">
        <v>112.1</v>
      </c>
      <c r="D14" s="1">
        <v>5.99</v>
      </c>
      <c r="E14" s="9">
        <v>0.111</v>
      </c>
      <c r="F14" s="1">
        <v>215</v>
      </c>
      <c r="G14" s="1">
        <f t="shared" si="2"/>
        <v>24101.5</v>
      </c>
      <c r="H14" s="9">
        <v>1.13</v>
      </c>
      <c r="I14" s="12">
        <v>1518</v>
      </c>
      <c r="J14" s="1">
        <f t="shared" si="0"/>
        <v>8081</v>
      </c>
      <c r="K14" s="1">
        <v>4.5</v>
      </c>
      <c r="L14" s="23">
        <f>E14-评价标准!M14</f>
        <v>-0.00899999999999999</v>
      </c>
      <c r="M14" s="23">
        <f>N14-评价标准!N14</f>
        <v>-0.0579852330584103</v>
      </c>
      <c r="N14" s="24">
        <f t="shared" si="1"/>
        <v>1.13201476694159</v>
      </c>
    </row>
    <row r="15" ht="13.85" spans="1:14">
      <c r="A15" s="2">
        <v>9</v>
      </c>
      <c r="B15" s="2">
        <v>19774</v>
      </c>
      <c r="C15" s="1">
        <v>116.1</v>
      </c>
      <c r="D15" s="1">
        <v>6.13</v>
      </c>
      <c r="E15" s="9">
        <v>0.092</v>
      </c>
      <c r="F15" s="1">
        <v>231</v>
      </c>
      <c r="G15" s="1">
        <f t="shared" si="2"/>
        <v>26819.1</v>
      </c>
      <c r="H15" s="9">
        <v>1.11</v>
      </c>
      <c r="I15" s="12">
        <v>1719</v>
      </c>
      <c r="J15" s="1">
        <f t="shared" si="0"/>
        <v>9800</v>
      </c>
      <c r="K15" s="1">
        <v>3</v>
      </c>
      <c r="L15" s="23">
        <f>E15-评价标准!M15</f>
        <v>-0.018</v>
      </c>
      <c r="M15" s="23">
        <f>N15-评价标准!N15</f>
        <v>-0.0572435325602141</v>
      </c>
      <c r="N15" s="24">
        <f t="shared" si="1"/>
        <v>1.11275646743979</v>
      </c>
    </row>
    <row r="16" ht="13.85" spans="1:14">
      <c r="A16" s="2">
        <v>10</v>
      </c>
      <c r="B16" s="2">
        <v>18791</v>
      </c>
      <c r="C16" s="1">
        <v>120.4</v>
      </c>
      <c r="D16" s="1">
        <v>6.18</v>
      </c>
      <c r="E16" s="9">
        <v>0.105</v>
      </c>
      <c r="F16" s="1">
        <v>243</v>
      </c>
      <c r="G16" s="1">
        <f t="shared" si="2"/>
        <v>29257.2</v>
      </c>
      <c r="H16" s="9">
        <v>1.09</v>
      </c>
      <c r="I16" s="12">
        <v>1798</v>
      </c>
      <c r="J16" s="1">
        <f t="shared" si="0"/>
        <v>11598</v>
      </c>
      <c r="K16" s="1">
        <v>3.5</v>
      </c>
      <c r="L16" s="23">
        <f>E16-评价标准!M16</f>
        <v>0.00499999999999999</v>
      </c>
      <c r="M16" s="23">
        <f>N16-评价标准!N16</f>
        <v>-0.0590909090909089</v>
      </c>
      <c r="N16" s="24">
        <f t="shared" si="1"/>
        <v>1.09090909090909</v>
      </c>
    </row>
    <row r="17" ht="13.85" spans="1:14">
      <c r="A17" s="2">
        <v>11</v>
      </c>
      <c r="B17" s="2">
        <v>19918</v>
      </c>
      <c r="C17" s="1">
        <v>124.8</v>
      </c>
      <c r="D17" s="1">
        <v>6.35</v>
      </c>
      <c r="E17" s="9">
        <v>0.119</v>
      </c>
      <c r="F17" s="1">
        <v>258</v>
      </c>
      <c r="G17" s="1">
        <f t="shared" si="2"/>
        <v>32198.4</v>
      </c>
      <c r="H17" s="9">
        <v>1.1</v>
      </c>
      <c r="I17" s="33">
        <v>1794</v>
      </c>
      <c r="J17" s="1">
        <f t="shared" si="0"/>
        <v>13392</v>
      </c>
      <c r="K17" s="1">
        <v>2</v>
      </c>
      <c r="L17" s="23">
        <f>E17-评价标准!M17</f>
        <v>0.029</v>
      </c>
      <c r="M17" s="23">
        <f>N17-评价标准!N17</f>
        <v>-0.0294708994708994</v>
      </c>
      <c r="N17" s="24">
        <f t="shared" si="1"/>
        <v>1.1005291005291</v>
      </c>
    </row>
    <row r="18" ht="13.85" spans="1:14">
      <c r="A18" s="2">
        <v>12</v>
      </c>
      <c r="B18" s="2">
        <v>20210</v>
      </c>
      <c r="C18" s="1">
        <v>129.4</v>
      </c>
      <c r="D18" s="1">
        <v>6.46</v>
      </c>
      <c r="E18" s="9">
        <v>0.081</v>
      </c>
      <c r="F18" s="1">
        <v>270</v>
      </c>
      <c r="G18" s="1">
        <f t="shared" si="2"/>
        <v>34938</v>
      </c>
      <c r="H18" s="9">
        <v>1.09</v>
      </c>
      <c r="I18" s="12">
        <v>1930</v>
      </c>
      <c r="J18" s="1">
        <f t="shared" si="0"/>
        <v>15322</v>
      </c>
      <c r="K18" s="1">
        <v>3.5</v>
      </c>
      <c r="L18" s="23">
        <f>E18-评价标准!M18</f>
        <v>0.001</v>
      </c>
      <c r="M18" s="23">
        <f>N18-评价标准!N18</f>
        <v>-0.0249150268336316</v>
      </c>
      <c r="N18" s="24">
        <f t="shared" si="1"/>
        <v>1.08508497316637</v>
      </c>
    </row>
    <row r="19" ht="13.85" spans="1:14">
      <c r="A19" s="2">
        <v>13</v>
      </c>
      <c r="B19" s="2">
        <v>20048</v>
      </c>
      <c r="C19" s="1">
        <v>134.5</v>
      </c>
      <c r="D19" s="32">
        <v>6.6</v>
      </c>
      <c r="E19" s="9">
        <v>0.101</v>
      </c>
      <c r="F19" s="1">
        <v>290</v>
      </c>
      <c r="G19" s="1">
        <f t="shared" si="2"/>
        <v>39005</v>
      </c>
      <c r="H19" s="9">
        <v>1.11</v>
      </c>
      <c r="I19" s="12">
        <v>1806</v>
      </c>
      <c r="J19" s="1">
        <f t="shared" si="0"/>
        <v>17128</v>
      </c>
      <c r="K19" s="1">
        <v>3.5</v>
      </c>
      <c r="L19" s="23">
        <f>E19-评价标准!M19</f>
        <v>0.031</v>
      </c>
      <c r="M19" s="23">
        <f>N19-评价标准!N19</f>
        <v>0.0264062052779208</v>
      </c>
      <c r="N19" s="24">
        <f t="shared" si="1"/>
        <v>1.11640620527792</v>
      </c>
    </row>
    <row r="20" ht="13.85" spans="1:14">
      <c r="A20" s="2">
        <v>14</v>
      </c>
      <c r="B20" s="2">
        <v>19874</v>
      </c>
      <c r="C20" s="1">
        <v>139.2</v>
      </c>
      <c r="D20" s="1">
        <v>6.75</v>
      </c>
      <c r="E20" s="9">
        <v>0.057</v>
      </c>
      <c r="F20" s="1">
        <v>297</v>
      </c>
      <c r="G20" s="1">
        <f t="shared" si="2"/>
        <v>41342.4</v>
      </c>
      <c r="H20" s="9">
        <v>1.06</v>
      </c>
      <c r="I20" s="12">
        <v>1885</v>
      </c>
      <c r="J20" s="1">
        <f t="shared" si="0"/>
        <v>19013</v>
      </c>
      <c r="K20" s="1">
        <v>3</v>
      </c>
      <c r="L20" s="23">
        <f>E20-评价标准!M20</f>
        <v>0.007</v>
      </c>
      <c r="M20" s="23">
        <f>N20-评价标准!N20</f>
        <v>-0.0100743494423794</v>
      </c>
      <c r="N20" s="24">
        <f t="shared" si="1"/>
        <v>1.05992565055762</v>
      </c>
    </row>
    <row r="21" ht="13.85" spans="1:14">
      <c r="A21" s="2">
        <v>15</v>
      </c>
      <c r="B21" s="2">
        <v>19038</v>
      </c>
      <c r="C21" s="1">
        <v>143.6</v>
      </c>
      <c r="D21" s="1">
        <v>7.03</v>
      </c>
      <c r="E21" s="9">
        <v>0.002</v>
      </c>
      <c r="F21" s="1">
        <v>297</v>
      </c>
      <c r="G21" s="1">
        <f t="shared" si="2"/>
        <v>42649.2</v>
      </c>
      <c r="H21" s="9">
        <v>1.03</v>
      </c>
      <c r="I21" s="12">
        <v>1888</v>
      </c>
      <c r="J21" s="1">
        <f t="shared" si="0"/>
        <v>20901</v>
      </c>
      <c r="K21" s="1">
        <v>2.5</v>
      </c>
      <c r="L21" s="23">
        <f>E21-评价标准!M21</f>
        <v>-0.028</v>
      </c>
      <c r="M21" s="23">
        <f>N21-评价标准!N21</f>
        <v>-0.018390804597701</v>
      </c>
      <c r="N21" s="24">
        <f t="shared" si="1"/>
        <v>1.0316091954023</v>
      </c>
    </row>
    <row r="22" ht="13.85" spans="1:14">
      <c r="A22" s="2">
        <v>16</v>
      </c>
      <c r="B22" s="2">
        <v>14902</v>
      </c>
      <c r="C22" s="1">
        <v>147.3</v>
      </c>
      <c r="D22" s="1">
        <v>7.26</v>
      </c>
      <c r="E22" s="9">
        <v>0.013</v>
      </c>
      <c r="F22" s="1">
        <v>297</v>
      </c>
      <c r="G22" s="1">
        <f t="shared" si="2"/>
        <v>43748.1</v>
      </c>
      <c r="H22" s="9">
        <v>1.03</v>
      </c>
      <c r="I22" s="12">
        <v>1554</v>
      </c>
      <c r="J22" s="1">
        <f t="shared" si="0"/>
        <v>22455</v>
      </c>
      <c r="K22" s="1">
        <v>2.5</v>
      </c>
      <c r="L22" s="23">
        <f>E22-评价标准!M22</f>
        <v>0.003</v>
      </c>
      <c r="M22" s="23">
        <f>N22-评价标准!N22</f>
        <v>0.00576601671309218</v>
      </c>
      <c r="N22" s="24">
        <f t="shared" si="1"/>
        <v>1.02576601671309</v>
      </c>
    </row>
    <row r="23" ht="13.85" spans="1:14">
      <c r="A23" s="2">
        <v>17</v>
      </c>
      <c r="B23" s="2">
        <v>5138</v>
      </c>
      <c r="C23" s="1">
        <v>149</v>
      </c>
      <c r="D23" s="1">
        <v>7.56</v>
      </c>
      <c r="E23" s="11">
        <v>0.004</v>
      </c>
      <c r="F23" s="1">
        <v>297</v>
      </c>
      <c r="G23" s="12">
        <f t="shared" si="2"/>
        <v>44253</v>
      </c>
      <c r="H23" s="9">
        <v>1.01</v>
      </c>
      <c r="I23" s="12">
        <v>545</v>
      </c>
      <c r="J23" s="1">
        <f t="shared" si="0"/>
        <v>23000</v>
      </c>
      <c r="K23" s="1"/>
      <c r="L23" s="23">
        <f>E23-评价标准!M23</f>
        <v>-0.001</v>
      </c>
      <c r="M23" s="23">
        <f>N23-评价标准!N23</f>
        <v>0.0115410726408689</v>
      </c>
      <c r="N23" s="24">
        <f t="shared" si="1"/>
        <v>1.01154107264087</v>
      </c>
    </row>
    <row r="24" spans="1:11">
      <c r="A24" s="2">
        <v>18</v>
      </c>
      <c r="D24" s="2"/>
      <c r="E24" s="2"/>
      <c r="F24" s="2"/>
      <c r="G24" s="2"/>
      <c r="H24" s="2"/>
      <c r="I24" s="2"/>
      <c r="J24" s="2"/>
      <c r="K24" s="2"/>
    </row>
    <row r="25" spans="1:11">
      <c r="A25" s="2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6"/>
  <sheetViews>
    <sheetView workbookViewId="0">
      <selection activeCell="J5" sqref="J5:N5"/>
    </sheetView>
  </sheetViews>
  <sheetFormatPr defaultColWidth="9" defaultRowHeight="12.75"/>
  <cols>
    <col min="1" max="1" width="13.6371681415929" customWidth="1"/>
    <col min="5" max="5" width="13" customWidth="1"/>
    <col min="6" max="6" width="11.7256637168142" customWidth="1"/>
    <col min="7" max="7" width="11.1769911504425" customWidth="1"/>
    <col min="8" max="8" width="12.8141592920354"/>
    <col min="12" max="12" width="15" customWidth="1"/>
    <col min="13" max="13" width="14.7256637168142" customWidth="1"/>
    <col min="14" max="14" width="13.7256637168142" customWidth="1"/>
  </cols>
  <sheetData>
    <row r="2" ht="13.85" spans="1:8">
      <c r="A2" s="1" t="s">
        <v>183</v>
      </c>
      <c r="B2" s="1">
        <v>2597</v>
      </c>
      <c r="D2" s="2" t="s">
        <v>202</v>
      </c>
      <c r="E2" s="2">
        <v>2580</v>
      </c>
      <c r="G2" s="2" t="s">
        <v>184</v>
      </c>
      <c r="H2" s="3">
        <f>G22-E4</f>
        <v>39390.5933429812</v>
      </c>
    </row>
    <row r="3" ht="13.85" spans="1:10">
      <c r="A3" s="1" t="s">
        <v>185</v>
      </c>
      <c r="B3" s="1">
        <v>167</v>
      </c>
      <c r="D3" s="2" t="s">
        <v>203</v>
      </c>
      <c r="E3" s="2">
        <v>7.7</v>
      </c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30">
        <f>43070*7.7/69.1</f>
        <v>4799.40665701881</v>
      </c>
      <c r="F4" s="4"/>
      <c r="G4" s="4"/>
      <c r="H4" s="4"/>
      <c r="I4" s="4"/>
      <c r="J4" s="4"/>
    </row>
    <row r="5" ht="13.85" spans="1:14">
      <c r="A5" s="2" t="s">
        <v>187</v>
      </c>
      <c r="B5" s="6" t="s">
        <v>188</v>
      </c>
      <c r="C5" s="7" t="s">
        <v>189</v>
      </c>
      <c r="D5" s="7" t="s">
        <v>128</v>
      </c>
      <c r="E5" s="7" t="s">
        <v>190</v>
      </c>
      <c r="F5" s="7" t="s">
        <v>191</v>
      </c>
      <c r="G5" s="7" t="s">
        <v>110</v>
      </c>
      <c r="H5" s="7" t="s">
        <v>192</v>
      </c>
      <c r="I5" s="7" t="s">
        <v>193</v>
      </c>
      <c r="J5" s="14" t="s">
        <v>194</v>
      </c>
      <c r="K5" s="1" t="s">
        <v>195</v>
      </c>
      <c r="L5" s="22" t="s">
        <v>206</v>
      </c>
      <c r="M5" s="22" t="s">
        <v>207</v>
      </c>
      <c r="N5" s="22" t="s">
        <v>208</v>
      </c>
    </row>
    <row r="6" ht="14.25" spans="1:13">
      <c r="A6" s="2">
        <v>0</v>
      </c>
      <c r="B6" s="1">
        <v>8920</v>
      </c>
      <c r="C6" s="1">
        <v>89.2</v>
      </c>
      <c r="D6" s="1">
        <v>4.94</v>
      </c>
      <c r="E6" s="31">
        <v>0.208</v>
      </c>
      <c r="F6" s="1">
        <v>61</v>
      </c>
      <c r="G6" s="1">
        <v>5441</v>
      </c>
      <c r="H6" s="1"/>
      <c r="I6" s="28"/>
      <c r="J6" s="1">
        <v>300</v>
      </c>
      <c r="K6" s="13"/>
      <c r="L6" s="23">
        <f>E6-评价标准!M6</f>
        <v>0.00799999999999998</v>
      </c>
      <c r="M6" s="23"/>
    </row>
    <row r="7" ht="14.25" spans="1:14">
      <c r="A7" s="2">
        <v>1</v>
      </c>
      <c r="B7" s="1">
        <v>9219</v>
      </c>
      <c r="C7" s="1">
        <v>90.2</v>
      </c>
      <c r="D7" s="1">
        <v>3.97</v>
      </c>
      <c r="E7" s="31">
        <v>0.182</v>
      </c>
      <c r="F7" s="1">
        <v>71</v>
      </c>
      <c r="G7" s="1">
        <v>6404</v>
      </c>
      <c r="H7" s="9">
        <v>1.18</v>
      </c>
      <c r="I7" s="1">
        <v>528</v>
      </c>
      <c r="J7" s="1">
        <f>J6+I7</f>
        <v>828</v>
      </c>
      <c r="K7" s="2">
        <v>4</v>
      </c>
      <c r="L7" s="23">
        <f>E7-评价标准!M7</f>
        <v>-0.068</v>
      </c>
      <c r="M7" s="23">
        <f>N7-评价标准!N7</f>
        <v>-0.0230104760154384</v>
      </c>
      <c r="N7" s="24">
        <f>G7/G6</f>
        <v>1.17698952398456</v>
      </c>
    </row>
    <row r="8" ht="14.25" spans="1:14">
      <c r="A8" s="2">
        <v>2</v>
      </c>
      <c r="B8" s="1">
        <v>10513</v>
      </c>
      <c r="C8" s="1">
        <v>91.4</v>
      </c>
      <c r="D8" s="1">
        <v>4.05</v>
      </c>
      <c r="E8" s="31">
        <v>0.176</v>
      </c>
      <c r="F8" s="1">
        <v>83</v>
      </c>
      <c r="G8" s="1">
        <v>7586</v>
      </c>
      <c r="H8" s="9">
        <v>1.18</v>
      </c>
      <c r="I8" s="1">
        <v>657</v>
      </c>
      <c r="J8" s="1">
        <f t="shared" ref="J8:J23" si="0">J7+I8</f>
        <v>1485</v>
      </c>
      <c r="K8" s="2">
        <v>3.5</v>
      </c>
      <c r="L8" s="23">
        <f>E8-评价标准!M8</f>
        <v>-0.054</v>
      </c>
      <c r="M8" s="23">
        <f>N8-评价标准!N8</f>
        <v>-0.215427857589007</v>
      </c>
      <c r="N8" s="24">
        <f t="shared" ref="N8:N23" si="1">G8/G7</f>
        <v>1.18457214241099</v>
      </c>
    </row>
    <row r="9" ht="14.25" spans="1:14">
      <c r="A9" s="2">
        <v>3</v>
      </c>
      <c r="B9" s="1">
        <v>12942</v>
      </c>
      <c r="C9" s="1">
        <v>94.6</v>
      </c>
      <c r="D9" s="1">
        <v>4.25</v>
      </c>
      <c r="E9" s="31">
        <v>0.157</v>
      </c>
      <c r="F9" s="1">
        <v>125</v>
      </c>
      <c r="G9" s="1">
        <v>11825</v>
      </c>
      <c r="H9" s="9">
        <v>1.56</v>
      </c>
      <c r="I9" s="1">
        <v>767</v>
      </c>
      <c r="J9" s="1">
        <f t="shared" si="0"/>
        <v>2252</v>
      </c>
      <c r="K9" s="2">
        <v>4</v>
      </c>
      <c r="L9" s="23">
        <f>E9-评价标准!M9</f>
        <v>-0.043</v>
      </c>
      <c r="M9" s="23">
        <f>N9-评价标准!N9</f>
        <v>0.208792512523069</v>
      </c>
      <c r="N9" s="24">
        <f t="shared" si="1"/>
        <v>1.55879251252307</v>
      </c>
    </row>
    <row r="10" ht="14.25" spans="1:14">
      <c r="A10" s="2">
        <v>4</v>
      </c>
      <c r="B10" s="1">
        <v>14761</v>
      </c>
      <c r="C10" s="1">
        <v>96.8</v>
      </c>
      <c r="D10" s="1">
        <v>4.5</v>
      </c>
      <c r="E10" s="31">
        <v>0.138</v>
      </c>
      <c r="F10" s="1">
        <v>151</v>
      </c>
      <c r="G10" s="1">
        <v>14617</v>
      </c>
      <c r="H10" s="9">
        <v>1.24</v>
      </c>
      <c r="I10" s="1">
        <v>895</v>
      </c>
      <c r="J10" s="1">
        <f t="shared" si="0"/>
        <v>3147</v>
      </c>
      <c r="K10" s="2">
        <v>3.5</v>
      </c>
      <c r="L10" s="23">
        <f>E10-评价标准!M10</f>
        <v>-0.042</v>
      </c>
      <c r="M10" s="23">
        <f>N10-评价标准!N10</f>
        <v>-0.0938900634249473</v>
      </c>
      <c r="N10" s="24">
        <f t="shared" si="1"/>
        <v>1.23610993657505</v>
      </c>
    </row>
    <row r="11" ht="14.25" spans="1:14">
      <c r="A11" s="2">
        <v>5</v>
      </c>
      <c r="B11" s="1">
        <v>16713</v>
      </c>
      <c r="C11" s="1">
        <v>100.3</v>
      </c>
      <c r="D11" s="1">
        <v>4.64</v>
      </c>
      <c r="E11" s="31">
        <v>0.155</v>
      </c>
      <c r="F11" s="1">
        <v>166</v>
      </c>
      <c r="G11" s="1">
        <v>16650</v>
      </c>
      <c r="H11" s="9">
        <v>1.14</v>
      </c>
      <c r="I11" s="1">
        <v>1114</v>
      </c>
      <c r="J11" s="1">
        <f t="shared" si="0"/>
        <v>4261</v>
      </c>
      <c r="K11" s="2">
        <v>3</v>
      </c>
      <c r="L11" s="23">
        <f>E11-评价标准!M11</f>
        <v>-0.005</v>
      </c>
      <c r="M11" s="23">
        <f>N11-评价标准!N11</f>
        <v>-0.160915372511459</v>
      </c>
      <c r="N11" s="24">
        <f t="shared" si="1"/>
        <v>1.13908462748854</v>
      </c>
    </row>
    <row r="12" ht="14.25" spans="1:14">
      <c r="A12" s="2">
        <v>6</v>
      </c>
      <c r="B12" s="1">
        <v>17277</v>
      </c>
      <c r="C12" s="1">
        <v>102.9</v>
      </c>
      <c r="D12" s="1">
        <v>5.14</v>
      </c>
      <c r="E12" s="31">
        <v>0.107</v>
      </c>
      <c r="F12" s="1">
        <v>190</v>
      </c>
      <c r="G12" s="1">
        <v>19551</v>
      </c>
      <c r="H12" s="9">
        <v>1.17</v>
      </c>
      <c r="I12" s="1">
        <v>1316</v>
      </c>
      <c r="J12" s="1">
        <f t="shared" si="0"/>
        <v>5577</v>
      </c>
      <c r="K12" s="2">
        <v>4.5</v>
      </c>
      <c r="L12" s="23">
        <f>E12-评价标准!M12</f>
        <v>-0.033</v>
      </c>
      <c r="M12" s="23">
        <f>N12-评价标准!N12</f>
        <v>-0.0757657657657658</v>
      </c>
      <c r="N12" s="24">
        <f t="shared" si="1"/>
        <v>1.17423423423423</v>
      </c>
    </row>
    <row r="13" ht="14.25" spans="1:14">
      <c r="A13" s="2">
        <v>7</v>
      </c>
      <c r="B13" s="1">
        <v>19226</v>
      </c>
      <c r="C13" s="1">
        <v>107.8</v>
      </c>
      <c r="D13" s="1">
        <v>5.67</v>
      </c>
      <c r="E13" s="31">
        <v>0.053</v>
      </c>
      <c r="F13" s="1">
        <v>206</v>
      </c>
      <c r="G13" s="1">
        <v>22207</v>
      </c>
      <c r="H13" s="9">
        <v>1.14</v>
      </c>
      <c r="I13" s="1">
        <v>1529</v>
      </c>
      <c r="J13" s="1">
        <f t="shared" si="0"/>
        <v>7106</v>
      </c>
      <c r="K13" s="2">
        <v>3</v>
      </c>
      <c r="L13" s="23">
        <f>E13-评价标准!M13</f>
        <v>-0.077</v>
      </c>
      <c r="M13" s="23">
        <f>N13-评价标准!N13</f>
        <v>-0.0741501713467341</v>
      </c>
      <c r="N13" s="24">
        <f t="shared" si="1"/>
        <v>1.13584982865327</v>
      </c>
    </row>
    <row r="14" ht="14.25" spans="1:14">
      <c r="A14" s="2">
        <v>8</v>
      </c>
      <c r="B14" s="1">
        <v>19880</v>
      </c>
      <c r="C14" s="1">
        <v>112.8</v>
      </c>
      <c r="D14" s="1">
        <v>6.14</v>
      </c>
      <c r="E14" s="31">
        <v>0.043</v>
      </c>
      <c r="F14" s="1">
        <v>227</v>
      </c>
      <c r="G14" s="1">
        <v>25606</v>
      </c>
      <c r="H14" s="9">
        <v>1.15</v>
      </c>
      <c r="I14" s="1">
        <v>1548</v>
      </c>
      <c r="J14" s="1">
        <f t="shared" si="0"/>
        <v>8654</v>
      </c>
      <c r="K14" s="2">
        <v>3</v>
      </c>
      <c r="L14" s="23">
        <f>E14-评价标准!M14</f>
        <v>-0.077</v>
      </c>
      <c r="M14" s="23">
        <f>N14-评价标准!N14</f>
        <v>-0.0369401540054937</v>
      </c>
      <c r="N14" s="24">
        <f t="shared" si="1"/>
        <v>1.15305984599451</v>
      </c>
    </row>
    <row r="15" ht="14.25" spans="1:14">
      <c r="A15" s="2">
        <v>9</v>
      </c>
      <c r="B15" s="1">
        <v>20045</v>
      </c>
      <c r="C15" s="1">
        <v>117.2</v>
      </c>
      <c r="D15" s="1">
        <v>6.14</v>
      </c>
      <c r="E15" s="31">
        <v>0.076</v>
      </c>
      <c r="F15" s="1">
        <v>242</v>
      </c>
      <c r="G15" s="1">
        <v>28362</v>
      </c>
      <c r="H15" s="9">
        <v>1.11</v>
      </c>
      <c r="I15" s="1">
        <v>1709</v>
      </c>
      <c r="J15" s="1">
        <f t="shared" si="0"/>
        <v>10363</v>
      </c>
      <c r="K15" s="2">
        <v>2.5</v>
      </c>
      <c r="L15" s="23">
        <f>E15-评价标准!M15</f>
        <v>-0.034</v>
      </c>
      <c r="M15" s="23">
        <f>N15-评价标准!N15</f>
        <v>-0.0623689760212449</v>
      </c>
      <c r="N15" s="24">
        <f t="shared" si="1"/>
        <v>1.10763102397876</v>
      </c>
    </row>
    <row r="16" ht="14.25" spans="1:14">
      <c r="A16" s="2">
        <v>10</v>
      </c>
      <c r="B16" s="1">
        <v>20048</v>
      </c>
      <c r="C16" s="1">
        <v>121.4</v>
      </c>
      <c r="D16" s="1">
        <v>6.27</v>
      </c>
      <c r="E16" s="31">
        <v>0.067</v>
      </c>
      <c r="F16" s="1">
        <v>257</v>
      </c>
      <c r="G16" s="1">
        <v>31200</v>
      </c>
      <c r="H16" s="9">
        <v>1.1</v>
      </c>
      <c r="I16" s="1">
        <v>1832</v>
      </c>
      <c r="J16" s="1">
        <f t="shared" si="0"/>
        <v>12195</v>
      </c>
      <c r="K16" s="2">
        <v>3</v>
      </c>
      <c r="L16" s="23">
        <f>E16-评价标准!M16</f>
        <v>-0.033</v>
      </c>
      <c r="M16" s="23">
        <f>N16-评价标准!N16</f>
        <v>-0.0499365348000846</v>
      </c>
      <c r="N16" s="24">
        <f t="shared" si="1"/>
        <v>1.10006346519992</v>
      </c>
    </row>
    <row r="17" ht="14.25" spans="1:14">
      <c r="A17" s="2">
        <v>11</v>
      </c>
      <c r="B17" s="1">
        <v>20190</v>
      </c>
      <c r="C17" s="1">
        <v>126.4</v>
      </c>
      <c r="D17" s="1">
        <v>6.43</v>
      </c>
      <c r="E17" s="31">
        <v>0.093</v>
      </c>
      <c r="F17" s="1">
        <v>267</v>
      </c>
      <c r="G17" s="1">
        <v>33749</v>
      </c>
      <c r="H17" s="9">
        <v>1.08</v>
      </c>
      <c r="I17" s="1">
        <v>1904</v>
      </c>
      <c r="J17" s="1">
        <f t="shared" si="0"/>
        <v>14099</v>
      </c>
      <c r="K17" s="2">
        <v>2</v>
      </c>
      <c r="L17" s="23">
        <f>E17-评价标准!M17</f>
        <v>0.003</v>
      </c>
      <c r="M17" s="23">
        <f>N17-评价标准!N17</f>
        <v>-0.048301282051282</v>
      </c>
      <c r="N17" s="24">
        <f t="shared" si="1"/>
        <v>1.08169871794872</v>
      </c>
    </row>
    <row r="18" ht="14.25" spans="1:14">
      <c r="A18" s="2">
        <v>12</v>
      </c>
      <c r="B18" s="1">
        <v>20070</v>
      </c>
      <c r="C18" s="1">
        <v>131.2</v>
      </c>
      <c r="D18" s="1">
        <v>6.46</v>
      </c>
      <c r="E18" s="31">
        <v>0.069</v>
      </c>
      <c r="F18" s="1">
        <v>276</v>
      </c>
      <c r="G18" s="1">
        <v>36211</v>
      </c>
      <c r="H18" s="9">
        <v>1.07</v>
      </c>
      <c r="I18" s="1">
        <v>2105</v>
      </c>
      <c r="J18" s="1">
        <f t="shared" si="0"/>
        <v>16204</v>
      </c>
      <c r="K18" s="2">
        <v>3</v>
      </c>
      <c r="L18" s="23">
        <f>E18-评价标准!M18</f>
        <v>-0.011</v>
      </c>
      <c r="M18" s="23">
        <f>N18-评价标准!N18</f>
        <v>-0.0370496903611959</v>
      </c>
      <c r="N18" s="24">
        <f t="shared" si="1"/>
        <v>1.0729503096388</v>
      </c>
    </row>
    <row r="19" ht="14.25" spans="1:14">
      <c r="A19" s="2">
        <v>13</v>
      </c>
      <c r="B19" s="1">
        <v>20006</v>
      </c>
      <c r="C19" s="1">
        <v>135.9</v>
      </c>
      <c r="D19" s="1">
        <v>6.5</v>
      </c>
      <c r="E19" s="31">
        <v>0.067</v>
      </c>
      <c r="F19" s="1">
        <v>288</v>
      </c>
      <c r="G19" s="1">
        <v>39139</v>
      </c>
      <c r="H19" s="9">
        <v>1.08</v>
      </c>
      <c r="I19" s="1">
        <v>1957</v>
      </c>
      <c r="J19" s="1">
        <f t="shared" si="0"/>
        <v>18161</v>
      </c>
      <c r="K19" s="2">
        <v>4</v>
      </c>
      <c r="L19" s="23">
        <f>E19-评价标准!M19</f>
        <v>-0.003</v>
      </c>
      <c r="M19" s="23">
        <f>N19-评价标准!N19</f>
        <v>-0.00914059263759648</v>
      </c>
      <c r="N19" s="24">
        <f t="shared" si="1"/>
        <v>1.0808594073624</v>
      </c>
    </row>
    <row r="20" ht="14.25" spans="1:14">
      <c r="A20" s="2">
        <v>14</v>
      </c>
      <c r="B20" s="1">
        <v>19808</v>
      </c>
      <c r="C20" s="1">
        <v>140.8</v>
      </c>
      <c r="D20" s="1">
        <v>6.61</v>
      </c>
      <c r="E20" s="31">
        <v>0.042</v>
      </c>
      <c r="F20" s="1">
        <v>290</v>
      </c>
      <c r="G20" s="1">
        <v>40832</v>
      </c>
      <c r="H20" s="9">
        <v>1.04</v>
      </c>
      <c r="I20" s="1">
        <v>1960</v>
      </c>
      <c r="J20" s="1">
        <f t="shared" si="0"/>
        <v>20121</v>
      </c>
      <c r="K20" s="2">
        <v>3</v>
      </c>
      <c r="L20" s="23">
        <f>E20-评价标准!M20</f>
        <v>-0.008</v>
      </c>
      <c r="M20" s="23">
        <f>N20-评价标准!N20</f>
        <v>-0.0267439127213267</v>
      </c>
      <c r="N20" s="24">
        <f t="shared" si="1"/>
        <v>1.04325608727867</v>
      </c>
    </row>
    <row r="21" ht="14.25" spans="1:14">
      <c r="A21" s="2">
        <v>15</v>
      </c>
      <c r="B21" s="1">
        <v>18190</v>
      </c>
      <c r="C21" s="1">
        <v>144.8</v>
      </c>
      <c r="D21" s="1">
        <v>6.66</v>
      </c>
      <c r="E21" s="31">
        <v>0.059</v>
      </c>
      <c r="F21" s="1">
        <v>296</v>
      </c>
      <c r="G21" s="1">
        <v>42810</v>
      </c>
      <c r="H21" s="9">
        <v>1.05</v>
      </c>
      <c r="I21" s="1">
        <v>2194</v>
      </c>
      <c r="J21" s="1">
        <f t="shared" si="0"/>
        <v>22315</v>
      </c>
      <c r="K21" s="2">
        <v>3</v>
      </c>
      <c r="L21" s="23">
        <f>E21-评价标准!M21</f>
        <v>0.029</v>
      </c>
      <c r="M21" s="23">
        <f>N21-评价标准!N21</f>
        <v>-0.00155760188087783</v>
      </c>
      <c r="N21" s="24">
        <f t="shared" si="1"/>
        <v>1.04844239811912</v>
      </c>
    </row>
    <row r="22" ht="14.25" spans="1:14">
      <c r="A22" s="2">
        <v>16</v>
      </c>
      <c r="B22" s="1">
        <v>5022</v>
      </c>
      <c r="C22" s="1">
        <v>147.3</v>
      </c>
      <c r="D22" s="1">
        <v>7.34</v>
      </c>
      <c r="E22" s="31">
        <v>0.005</v>
      </c>
      <c r="F22" s="1">
        <v>300</v>
      </c>
      <c r="G22" s="12">
        <v>44190</v>
      </c>
      <c r="H22" s="9">
        <v>1.03</v>
      </c>
      <c r="I22" s="1">
        <v>685</v>
      </c>
      <c r="J22" s="1">
        <f t="shared" si="0"/>
        <v>23000</v>
      </c>
      <c r="K22" s="2"/>
      <c r="L22" s="23">
        <f>E22-评价标准!M22</f>
        <v>-0.005</v>
      </c>
      <c r="M22" s="23">
        <f>N22-评价标准!N22</f>
        <v>0.0122354590049054</v>
      </c>
      <c r="N22" s="24">
        <f t="shared" si="1"/>
        <v>1.03223545900491</v>
      </c>
    </row>
    <row r="23" ht="13.85" spans="1:14">
      <c r="A23" s="2">
        <v>17</v>
      </c>
      <c r="B23" s="2"/>
      <c r="C23" s="1"/>
      <c r="D23" s="1"/>
      <c r="E23" s="12"/>
      <c r="F23" s="1"/>
      <c r="G23" s="1"/>
      <c r="H23" s="1"/>
      <c r="I23" s="13"/>
      <c r="J23" s="1"/>
      <c r="K23" s="13"/>
      <c r="L23" s="23"/>
      <c r="M23" s="23">
        <f>N23-评价标准!N23</f>
        <v>-1</v>
      </c>
      <c r="N23" s="24">
        <f t="shared" si="1"/>
        <v>0</v>
      </c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J5" sqref="J5:N5"/>
    </sheetView>
  </sheetViews>
  <sheetFormatPr defaultColWidth="9" defaultRowHeight="12.75"/>
  <cols>
    <col min="1" max="1" width="13.4513274336283" customWidth="1"/>
    <col min="5" max="5" width="13.8141592920354" customWidth="1"/>
    <col min="6" max="7" width="12.3628318584071" customWidth="1"/>
    <col min="8" max="8" width="12.8141592920354"/>
    <col min="12" max="12" width="12.2654867256637" customWidth="1"/>
    <col min="13" max="13" width="12.1769911504425" customWidth="1"/>
    <col min="14" max="14" width="17.2654867256637" customWidth="1"/>
  </cols>
  <sheetData>
    <row r="1" spans="6:6">
      <c r="F1" s="15"/>
    </row>
    <row r="2" ht="13.85" spans="1:8">
      <c r="A2" s="1" t="s">
        <v>183</v>
      </c>
      <c r="B2" s="1">
        <v>2593</v>
      </c>
      <c r="D2" s="2" t="s">
        <v>202</v>
      </c>
      <c r="E2" s="2">
        <v>2580</v>
      </c>
      <c r="F2" s="15"/>
      <c r="G2" s="2" t="s">
        <v>184</v>
      </c>
      <c r="H2" s="3">
        <f>G23-E4</f>
        <v>39066.5933429812</v>
      </c>
    </row>
    <row r="3" ht="13.85" spans="1:11">
      <c r="A3" s="1" t="s">
        <v>185</v>
      </c>
      <c r="B3" s="1">
        <v>167</v>
      </c>
      <c r="D3" s="2" t="s">
        <v>203</v>
      </c>
      <c r="E3" s="2">
        <v>7.7</v>
      </c>
      <c r="H3" s="4"/>
      <c r="I3" s="4"/>
      <c r="J3" s="4"/>
      <c r="K3" s="4"/>
    </row>
    <row r="4" ht="13.85" spans="1:11">
      <c r="A4" s="2" t="s">
        <v>186</v>
      </c>
      <c r="B4" s="2" t="s">
        <v>204</v>
      </c>
      <c r="D4" s="2" t="s">
        <v>205</v>
      </c>
      <c r="E4" s="5">
        <f>43070*E3/69.1</f>
        <v>4799.40665701881</v>
      </c>
      <c r="F4" s="4"/>
      <c r="G4" s="4"/>
      <c r="H4" s="4"/>
      <c r="I4" s="4"/>
      <c r="J4" s="4"/>
      <c r="K4" s="4"/>
    </row>
    <row r="5" ht="13.85" spans="1:14">
      <c r="A5" s="2" t="s">
        <v>187</v>
      </c>
      <c r="B5" s="6" t="s">
        <v>188</v>
      </c>
      <c r="C5" s="7" t="s">
        <v>189</v>
      </c>
      <c r="D5" s="7" t="s">
        <v>128</v>
      </c>
      <c r="E5" s="7" t="s">
        <v>190</v>
      </c>
      <c r="F5" s="7" t="s">
        <v>191</v>
      </c>
      <c r="G5" s="7" t="s">
        <v>145</v>
      </c>
      <c r="H5" s="7" t="s">
        <v>192</v>
      </c>
      <c r="I5" s="7" t="s">
        <v>193</v>
      </c>
      <c r="J5" s="14" t="s">
        <v>194</v>
      </c>
      <c r="K5" s="1" t="s">
        <v>195</v>
      </c>
      <c r="L5" s="22" t="s">
        <v>206</v>
      </c>
      <c r="M5" s="22" t="s">
        <v>207</v>
      </c>
      <c r="N5" s="22" t="s">
        <v>208</v>
      </c>
    </row>
    <row r="6" ht="13.85" spans="1:13">
      <c r="A6" s="2">
        <v>0</v>
      </c>
      <c r="B6" s="27">
        <v>9106</v>
      </c>
      <c r="C6" s="1">
        <v>88.7</v>
      </c>
      <c r="D6" s="1">
        <v>5.08</v>
      </c>
      <c r="E6" s="9">
        <v>0.191</v>
      </c>
      <c r="F6" s="1">
        <v>57</v>
      </c>
      <c r="G6" s="28">
        <v>5056</v>
      </c>
      <c r="I6" s="1"/>
      <c r="J6" s="1">
        <v>300</v>
      </c>
      <c r="K6" s="1"/>
      <c r="L6" s="23">
        <f>E6-评价标准!M6</f>
        <v>-0.00900000000000001</v>
      </c>
      <c r="M6" s="23"/>
    </row>
    <row r="7" ht="13.85" spans="1:14">
      <c r="A7" s="2">
        <v>1</v>
      </c>
      <c r="B7" s="27">
        <v>9202</v>
      </c>
      <c r="C7" s="1">
        <v>89.7</v>
      </c>
      <c r="D7" s="1">
        <v>3.91</v>
      </c>
      <c r="E7" s="9">
        <v>0.177</v>
      </c>
      <c r="F7" s="1">
        <v>70</v>
      </c>
      <c r="G7" s="1">
        <v>6270</v>
      </c>
      <c r="H7" s="9">
        <v>1.24</v>
      </c>
      <c r="I7" s="1">
        <v>527</v>
      </c>
      <c r="J7" s="1">
        <f>J6+I7</f>
        <v>827</v>
      </c>
      <c r="K7" s="1">
        <v>4</v>
      </c>
      <c r="L7" s="23">
        <f>E7-评价标准!M7</f>
        <v>-0.073</v>
      </c>
      <c r="M7" s="23">
        <f>N7-评价标准!N7</f>
        <v>0.0401107594936709</v>
      </c>
      <c r="N7" s="24">
        <f>G7/G6</f>
        <v>1.24011075949367</v>
      </c>
    </row>
    <row r="8" ht="13.85" spans="1:14">
      <c r="A8" s="2">
        <v>2</v>
      </c>
      <c r="B8" s="27">
        <v>10231</v>
      </c>
      <c r="C8" s="1">
        <v>92.2</v>
      </c>
      <c r="D8" s="1">
        <v>4.12</v>
      </c>
      <c r="E8" s="9">
        <v>0.178</v>
      </c>
      <c r="F8" s="1">
        <v>95</v>
      </c>
      <c r="G8" s="1">
        <v>8759</v>
      </c>
      <c r="H8" s="9">
        <v>1.19</v>
      </c>
      <c r="I8" s="1">
        <v>616</v>
      </c>
      <c r="J8" s="1">
        <f t="shared" ref="J8:J23" si="0">J7+I8</f>
        <v>1443</v>
      </c>
      <c r="K8" s="1">
        <v>3</v>
      </c>
      <c r="L8" s="23">
        <f>E8-评价标准!M8</f>
        <v>-0.052</v>
      </c>
      <c r="M8" s="23">
        <f>N8-评价标准!N8</f>
        <v>-0.00303030303030294</v>
      </c>
      <c r="N8" s="24">
        <f t="shared" ref="N8:N23" si="1">G8/G7</f>
        <v>1.3969696969697</v>
      </c>
    </row>
    <row r="9" ht="13.85" spans="1:14">
      <c r="A9" s="2">
        <v>3</v>
      </c>
      <c r="B9" s="27">
        <v>12507</v>
      </c>
      <c r="C9" s="1">
        <v>92.3</v>
      </c>
      <c r="D9" s="1">
        <v>4.31</v>
      </c>
      <c r="E9" s="9">
        <v>0.11</v>
      </c>
      <c r="F9" s="1">
        <v>133</v>
      </c>
      <c r="G9" s="1">
        <v>12409</v>
      </c>
      <c r="H9" s="9">
        <v>1.42</v>
      </c>
      <c r="I9" s="1">
        <v>682</v>
      </c>
      <c r="J9" s="1">
        <f t="shared" si="0"/>
        <v>2125</v>
      </c>
      <c r="K9" s="1">
        <v>2</v>
      </c>
      <c r="L9" s="23">
        <f>E9-评价标准!M9</f>
        <v>-0.09</v>
      </c>
      <c r="M9" s="23">
        <f>N9-评价标准!N9</f>
        <v>0.0667142367850211</v>
      </c>
      <c r="N9" s="24">
        <f t="shared" si="1"/>
        <v>1.41671423678502</v>
      </c>
    </row>
    <row r="10" ht="13.85" spans="1:14">
      <c r="A10" s="2">
        <v>4</v>
      </c>
      <c r="B10" s="27">
        <v>14556</v>
      </c>
      <c r="C10" s="1">
        <v>96.1</v>
      </c>
      <c r="D10" s="1">
        <v>4.61</v>
      </c>
      <c r="E10" s="9">
        <v>0.107</v>
      </c>
      <c r="F10" s="1">
        <v>147</v>
      </c>
      <c r="G10" s="1">
        <v>14127</v>
      </c>
      <c r="H10" s="9">
        <v>1.14</v>
      </c>
      <c r="I10" s="1">
        <v>1022</v>
      </c>
      <c r="J10" s="1">
        <f t="shared" si="0"/>
        <v>3147</v>
      </c>
      <c r="K10" s="1">
        <v>3</v>
      </c>
      <c r="L10" s="23">
        <f>E10-评价标准!M10</f>
        <v>-0.073</v>
      </c>
      <c r="M10" s="23">
        <f>N10-评价标准!N10</f>
        <v>-0.191552099282779</v>
      </c>
      <c r="N10" s="24">
        <f t="shared" si="1"/>
        <v>1.13844790071722</v>
      </c>
    </row>
    <row r="11" ht="13.85" spans="1:14">
      <c r="A11" s="2">
        <v>5</v>
      </c>
      <c r="B11" s="27">
        <v>16536</v>
      </c>
      <c r="C11" s="1">
        <v>98.7</v>
      </c>
      <c r="D11" s="1">
        <v>4.88</v>
      </c>
      <c r="E11" s="9">
        <v>0.087</v>
      </c>
      <c r="F11" s="1">
        <v>169</v>
      </c>
      <c r="G11" s="1">
        <v>16680</v>
      </c>
      <c r="H11" s="9">
        <v>1.18</v>
      </c>
      <c r="I11" s="1">
        <v>1063</v>
      </c>
      <c r="J11" s="1">
        <f t="shared" si="0"/>
        <v>4210</v>
      </c>
      <c r="K11" s="1">
        <v>2</v>
      </c>
      <c r="L11" s="23">
        <f>E11-评价标准!M11</f>
        <v>-0.073</v>
      </c>
      <c r="M11" s="23">
        <f>N11-评价标准!N11</f>
        <v>-0.119282225525589</v>
      </c>
      <c r="N11" s="24">
        <f t="shared" si="1"/>
        <v>1.18071777447441</v>
      </c>
    </row>
    <row r="12" ht="13.85" spans="1:14">
      <c r="A12" s="2">
        <v>6</v>
      </c>
      <c r="B12" s="27">
        <v>17166</v>
      </c>
      <c r="C12" s="1">
        <v>102.3</v>
      </c>
      <c r="D12" s="1">
        <v>5.32</v>
      </c>
      <c r="E12" s="9">
        <v>0.08</v>
      </c>
      <c r="F12" s="1">
        <v>189</v>
      </c>
      <c r="G12" s="1">
        <v>19335</v>
      </c>
      <c r="H12" s="9">
        <v>1.16</v>
      </c>
      <c r="I12" s="1">
        <v>1229</v>
      </c>
      <c r="J12" s="1">
        <f t="shared" si="0"/>
        <v>5439</v>
      </c>
      <c r="K12" s="1">
        <v>4</v>
      </c>
      <c r="L12" s="23">
        <f>E12-评价标准!M12</f>
        <v>-0.06</v>
      </c>
      <c r="M12" s="23">
        <f>N12-评价标准!N12</f>
        <v>-0.0908273381294964</v>
      </c>
      <c r="N12" s="24">
        <f t="shared" si="1"/>
        <v>1.1591726618705</v>
      </c>
    </row>
    <row r="13" ht="13.85" spans="1:14">
      <c r="A13" s="2">
        <v>7</v>
      </c>
      <c r="B13" s="27">
        <v>19446</v>
      </c>
      <c r="C13" s="1">
        <v>107.8</v>
      </c>
      <c r="D13" s="1">
        <v>6.03</v>
      </c>
      <c r="E13" s="9">
        <v>0.056</v>
      </c>
      <c r="F13" s="1">
        <v>211</v>
      </c>
      <c r="G13" s="1">
        <v>22745</v>
      </c>
      <c r="H13" s="9">
        <v>1.18</v>
      </c>
      <c r="I13" s="1">
        <v>1404</v>
      </c>
      <c r="J13" s="1">
        <f t="shared" si="0"/>
        <v>6843</v>
      </c>
      <c r="K13" s="1">
        <v>2.5</v>
      </c>
      <c r="L13" s="23">
        <f>E13-评价标准!M13</f>
        <v>-0.074</v>
      </c>
      <c r="M13" s="23">
        <f>N13-评价标准!N13</f>
        <v>-0.0336358934574605</v>
      </c>
      <c r="N13" s="24">
        <f t="shared" si="1"/>
        <v>1.17636410654254</v>
      </c>
    </row>
    <row r="14" ht="13.85" spans="1:14">
      <c r="A14" s="2">
        <v>8</v>
      </c>
      <c r="B14" s="27">
        <v>20118</v>
      </c>
      <c r="C14" s="29">
        <v>112</v>
      </c>
      <c r="D14" s="1">
        <v>6.34</v>
      </c>
      <c r="E14" s="9">
        <v>0.086</v>
      </c>
      <c r="F14" s="1">
        <v>228</v>
      </c>
      <c r="G14" s="1">
        <v>25536</v>
      </c>
      <c r="H14" s="9">
        <v>1.12</v>
      </c>
      <c r="I14" s="1">
        <v>1607</v>
      </c>
      <c r="J14" s="1">
        <f t="shared" si="0"/>
        <v>8450</v>
      </c>
      <c r="K14" s="1">
        <v>2.5</v>
      </c>
      <c r="L14" s="23">
        <f>E14-评价标准!M14</f>
        <v>-0.034</v>
      </c>
      <c r="M14" s="23">
        <f>N14-评价标准!N14</f>
        <v>-0.0672917124642778</v>
      </c>
      <c r="N14" s="24">
        <f t="shared" si="1"/>
        <v>1.12270828753572</v>
      </c>
    </row>
    <row r="15" ht="13.85" spans="1:14">
      <c r="A15" s="2">
        <v>9</v>
      </c>
      <c r="B15" s="27">
        <v>19889</v>
      </c>
      <c r="C15" s="1">
        <v>115.5</v>
      </c>
      <c r="D15" s="1">
        <v>6.29</v>
      </c>
      <c r="E15" s="9">
        <v>0.089</v>
      </c>
      <c r="F15" s="1">
        <v>243</v>
      </c>
      <c r="G15" s="1">
        <v>28066</v>
      </c>
      <c r="H15" s="9">
        <v>1.1</v>
      </c>
      <c r="I15" s="1">
        <v>1591</v>
      </c>
      <c r="J15" s="1">
        <f t="shared" si="0"/>
        <v>10041</v>
      </c>
      <c r="K15" s="1">
        <v>2</v>
      </c>
      <c r="L15" s="23">
        <f>E15-评价标准!M15</f>
        <v>-0.021</v>
      </c>
      <c r="M15" s="23">
        <f>N15-评价标准!N15</f>
        <v>-0.0709241854636591</v>
      </c>
      <c r="N15" s="24">
        <f t="shared" si="1"/>
        <v>1.09907581453634</v>
      </c>
    </row>
    <row r="16" ht="13.85" spans="1:14">
      <c r="A16" s="2">
        <v>10</v>
      </c>
      <c r="B16" s="27">
        <v>19947</v>
      </c>
      <c r="C16" s="1">
        <v>119.8</v>
      </c>
      <c r="D16" s="1">
        <v>6.3</v>
      </c>
      <c r="E16" s="9">
        <v>0.086</v>
      </c>
      <c r="F16" s="1">
        <v>256</v>
      </c>
      <c r="G16" s="1">
        <v>30669</v>
      </c>
      <c r="H16" s="9">
        <v>1.09</v>
      </c>
      <c r="I16" s="1">
        <v>1792</v>
      </c>
      <c r="J16" s="1">
        <f t="shared" si="0"/>
        <v>11833</v>
      </c>
      <c r="K16" s="1">
        <v>4</v>
      </c>
      <c r="L16" s="23">
        <f>E16-评价标准!M16</f>
        <v>-0.014</v>
      </c>
      <c r="M16" s="23">
        <f>N16-评价标准!N16</f>
        <v>-0.0572543290814507</v>
      </c>
      <c r="N16" s="24">
        <f t="shared" si="1"/>
        <v>1.09274567091855</v>
      </c>
    </row>
    <row r="17" ht="13.85" spans="1:14">
      <c r="A17" s="2">
        <v>11</v>
      </c>
      <c r="B17" s="27">
        <v>20426</v>
      </c>
      <c r="C17" s="29">
        <v>123</v>
      </c>
      <c r="D17" s="1">
        <v>6.4</v>
      </c>
      <c r="E17" s="9">
        <v>0.109</v>
      </c>
      <c r="F17" s="1">
        <v>270</v>
      </c>
      <c r="G17" s="1">
        <v>33750</v>
      </c>
      <c r="H17" s="9">
        <v>1.1</v>
      </c>
      <c r="I17" s="1">
        <v>1967</v>
      </c>
      <c r="J17" s="1">
        <f t="shared" si="0"/>
        <v>13800</v>
      </c>
      <c r="K17" s="1">
        <v>2</v>
      </c>
      <c r="L17" s="23">
        <f>E17-评价标准!M17</f>
        <v>0.019</v>
      </c>
      <c r="M17" s="23">
        <f>N17-评价标准!N17</f>
        <v>-0.029540252372102</v>
      </c>
      <c r="N17" s="24">
        <f t="shared" si="1"/>
        <v>1.1004597476279</v>
      </c>
    </row>
    <row r="18" ht="13.85" spans="1:14">
      <c r="A18" s="2">
        <v>12</v>
      </c>
      <c r="B18" s="27">
        <v>20025</v>
      </c>
      <c r="C18" s="1">
        <v>129.5</v>
      </c>
      <c r="D18" s="1">
        <v>6.53</v>
      </c>
      <c r="E18" s="9">
        <v>0.067</v>
      </c>
      <c r="F18" s="1">
        <v>278</v>
      </c>
      <c r="G18" s="1">
        <v>36001</v>
      </c>
      <c r="H18" s="9">
        <v>1.07</v>
      </c>
      <c r="I18" s="1">
        <v>1801</v>
      </c>
      <c r="J18" s="1">
        <f t="shared" si="0"/>
        <v>15601</v>
      </c>
      <c r="K18" s="1">
        <v>2</v>
      </c>
      <c r="L18" s="23">
        <f>E18-评价标准!M18</f>
        <v>-0.013</v>
      </c>
      <c r="M18" s="23">
        <f>N18-评价标准!N18</f>
        <v>-0.0433037037037038</v>
      </c>
      <c r="N18" s="24">
        <f t="shared" si="1"/>
        <v>1.0666962962963</v>
      </c>
    </row>
    <row r="19" ht="13.85" spans="1:14">
      <c r="A19" s="2">
        <v>13</v>
      </c>
      <c r="B19" s="27">
        <v>20034</v>
      </c>
      <c r="C19" s="1">
        <v>134.4</v>
      </c>
      <c r="D19" s="1">
        <v>6.52</v>
      </c>
      <c r="E19" s="9">
        <v>0.093</v>
      </c>
      <c r="F19" s="1">
        <v>286</v>
      </c>
      <c r="G19" s="1">
        <v>38438</v>
      </c>
      <c r="H19" s="9">
        <v>1.07</v>
      </c>
      <c r="I19" s="1">
        <v>1933</v>
      </c>
      <c r="J19" s="1">
        <f t="shared" si="0"/>
        <v>17534</v>
      </c>
      <c r="K19" s="1">
        <v>2.5</v>
      </c>
      <c r="L19" s="23">
        <f>E19-评价标准!M19</f>
        <v>0.023</v>
      </c>
      <c r="M19" s="23">
        <f>N19-评价标准!N19</f>
        <v>-0.0223074359045583</v>
      </c>
      <c r="N19" s="24">
        <f t="shared" si="1"/>
        <v>1.06769256409544</v>
      </c>
    </row>
    <row r="20" ht="13.85" spans="1:14">
      <c r="A20" s="2">
        <v>14</v>
      </c>
      <c r="B20" s="27">
        <v>19721</v>
      </c>
      <c r="C20" s="29">
        <v>139</v>
      </c>
      <c r="D20" s="1">
        <v>6.89</v>
      </c>
      <c r="E20" s="9">
        <v>0.044</v>
      </c>
      <c r="F20" s="1">
        <v>293</v>
      </c>
      <c r="G20" s="1">
        <v>40727</v>
      </c>
      <c r="H20" s="9">
        <v>1.06</v>
      </c>
      <c r="I20" s="1">
        <v>1712</v>
      </c>
      <c r="J20" s="1">
        <f t="shared" si="0"/>
        <v>19246</v>
      </c>
      <c r="K20" s="1">
        <v>3</v>
      </c>
      <c r="L20" s="23">
        <f>E20-评价标准!M20</f>
        <v>-0.00600000000000001</v>
      </c>
      <c r="M20" s="23">
        <f>N20-评价标准!N20</f>
        <v>-0.0104495551277382</v>
      </c>
      <c r="N20" s="24">
        <f t="shared" si="1"/>
        <v>1.05955044487226</v>
      </c>
    </row>
    <row r="21" ht="13.85" spans="1:14">
      <c r="A21" s="2">
        <v>15</v>
      </c>
      <c r="B21" s="27">
        <v>18726</v>
      </c>
      <c r="C21" s="1">
        <v>143.7</v>
      </c>
      <c r="D21" s="1">
        <v>7</v>
      </c>
      <c r="E21" s="9">
        <v>0.024</v>
      </c>
      <c r="F21" s="1">
        <v>294</v>
      </c>
      <c r="G21" s="1">
        <v>42247</v>
      </c>
      <c r="H21" s="9">
        <v>1.04</v>
      </c>
      <c r="I21" s="1">
        <v>1769</v>
      </c>
      <c r="J21" s="1">
        <f t="shared" si="0"/>
        <v>21015</v>
      </c>
      <c r="K21" s="1">
        <v>3</v>
      </c>
      <c r="L21" s="23">
        <f>E21-评价标准!M21</f>
        <v>-0.006</v>
      </c>
      <c r="M21" s="23">
        <f>N21-评价标准!N21</f>
        <v>-0.0126783215066173</v>
      </c>
      <c r="N21" s="24">
        <f t="shared" si="1"/>
        <v>1.03732167849338</v>
      </c>
    </row>
    <row r="22" ht="13.85" spans="1:14">
      <c r="A22" s="2">
        <v>16</v>
      </c>
      <c r="B22" s="27">
        <v>14892</v>
      </c>
      <c r="C22" s="1">
        <v>147.2</v>
      </c>
      <c r="D22" s="1">
        <v>7.44</v>
      </c>
      <c r="E22" s="9">
        <v>0.016</v>
      </c>
      <c r="F22" s="1">
        <v>295</v>
      </c>
      <c r="G22" s="1">
        <v>43424</v>
      </c>
      <c r="H22" s="9">
        <v>1.03</v>
      </c>
      <c r="I22" s="1">
        <v>1452</v>
      </c>
      <c r="J22" s="1">
        <f t="shared" si="0"/>
        <v>22467</v>
      </c>
      <c r="K22" s="1">
        <v>2</v>
      </c>
      <c r="L22" s="23">
        <f>E22-评价标准!M22</f>
        <v>0.006</v>
      </c>
      <c r="M22" s="23">
        <f>N22-评价标准!N22</f>
        <v>0.00785996638814579</v>
      </c>
      <c r="N22" s="24">
        <f t="shared" si="1"/>
        <v>1.02785996638815</v>
      </c>
    </row>
    <row r="23" ht="13.85" spans="1:14">
      <c r="A23" s="2">
        <v>17</v>
      </c>
      <c r="B23" s="27">
        <v>5061</v>
      </c>
      <c r="C23" s="1">
        <v>148.7</v>
      </c>
      <c r="D23" s="1">
        <v>7.6</v>
      </c>
      <c r="E23" s="11">
        <v>0.004</v>
      </c>
      <c r="F23" s="1">
        <v>295</v>
      </c>
      <c r="G23" s="12">
        <v>43866</v>
      </c>
      <c r="H23" s="9">
        <v>1.01</v>
      </c>
      <c r="I23" s="1">
        <v>533</v>
      </c>
      <c r="J23" s="1">
        <f t="shared" si="0"/>
        <v>23000</v>
      </c>
      <c r="K23" s="1"/>
      <c r="L23" s="23">
        <f>E23-评价标准!M23</f>
        <v>-0.001</v>
      </c>
      <c r="M23" s="23">
        <f>N23-评价标准!N23</f>
        <v>0.0101787030213707</v>
      </c>
      <c r="N23" s="24">
        <f t="shared" si="1"/>
        <v>1.01017870302137</v>
      </c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6"/>
  <sheetViews>
    <sheetView workbookViewId="0">
      <selection activeCell="J5" sqref="J5:N5"/>
    </sheetView>
  </sheetViews>
  <sheetFormatPr defaultColWidth="9" defaultRowHeight="12.75"/>
  <cols>
    <col min="1" max="1" width="12.5398230088496" customWidth="1"/>
    <col min="5" max="5" width="12.5398230088496" customWidth="1"/>
    <col min="7" max="7" width="11.1769911504425" customWidth="1"/>
    <col min="8" max="8" width="11.6371681415929"/>
    <col min="12" max="12" width="13.1769911504425" customWidth="1"/>
    <col min="13" max="13" width="14.7256637168142" customWidth="1"/>
    <col min="14" max="14" width="14" customWidth="1"/>
  </cols>
  <sheetData>
    <row r="2" ht="13.85" spans="1:8">
      <c r="A2" s="1" t="s">
        <v>183</v>
      </c>
      <c r="B2" s="1">
        <v>2599</v>
      </c>
      <c r="D2" s="2" t="s">
        <v>202</v>
      </c>
      <c r="E2" s="2">
        <v>2580</v>
      </c>
      <c r="G2" s="2" t="s">
        <v>184</v>
      </c>
      <c r="H2" s="3">
        <f>G23-E4</f>
        <v>38892.2232995658</v>
      </c>
    </row>
    <row r="3" ht="13.85" spans="1:10">
      <c r="A3" s="1" t="s">
        <v>185</v>
      </c>
      <c r="B3" s="1">
        <v>167</v>
      </c>
      <c r="D3" s="2" t="s">
        <v>203</v>
      </c>
      <c r="E3" s="2">
        <v>7.6</v>
      </c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>
        <f>43070*E3/69.1</f>
        <v>4737.07670043415</v>
      </c>
      <c r="F4" s="4"/>
      <c r="G4" s="4"/>
      <c r="H4" s="4"/>
      <c r="I4" s="4"/>
      <c r="J4" s="4"/>
    </row>
    <row r="5" ht="13.85" spans="1:14">
      <c r="A5" s="2" t="s">
        <v>187</v>
      </c>
      <c r="B5" s="6" t="s">
        <v>188</v>
      </c>
      <c r="C5" s="7" t="s">
        <v>189</v>
      </c>
      <c r="D5" s="7" t="s">
        <v>128</v>
      </c>
      <c r="E5" s="7" t="s">
        <v>190</v>
      </c>
      <c r="F5" s="7" t="s">
        <v>191</v>
      </c>
      <c r="G5" s="7" t="s">
        <v>145</v>
      </c>
      <c r="H5" s="7" t="s">
        <v>192</v>
      </c>
      <c r="I5" s="7" t="s">
        <v>193</v>
      </c>
      <c r="J5" s="14" t="s">
        <v>194</v>
      </c>
      <c r="K5" s="1" t="s">
        <v>195</v>
      </c>
      <c r="L5" s="22" t="s">
        <v>206</v>
      </c>
      <c r="M5" s="22" t="s">
        <v>207</v>
      </c>
      <c r="N5" s="22" t="s">
        <v>208</v>
      </c>
    </row>
    <row r="6" ht="13.85" spans="1:13">
      <c r="A6" s="2">
        <v>0</v>
      </c>
      <c r="B6" s="2">
        <v>8990</v>
      </c>
      <c r="C6" s="1">
        <v>88.5</v>
      </c>
      <c r="D6" s="1">
        <v>4.53</v>
      </c>
      <c r="E6" s="9">
        <v>0.151</v>
      </c>
      <c r="F6" s="1">
        <v>63</v>
      </c>
      <c r="G6" s="1">
        <f>C6*F6</f>
        <v>5575.5</v>
      </c>
      <c r="J6" s="1">
        <v>300</v>
      </c>
      <c r="K6" s="13"/>
      <c r="L6" s="23">
        <f>E6-评价标准!M6</f>
        <v>-0.049</v>
      </c>
      <c r="M6" s="23"/>
    </row>
    <row r="7" ht="13.85" spans="1:14">
      <c r="A7" s="2">
        <v>1</v>
      </c>
      <c r="B7" s="2">
        <v>9574</v>
      </c>
      <c r="C7" s="1">
        <v>89.2</v>
      </c>
      <c r="D7" s="1">
        <v>4.33</v>
      </c>
      <c r="E7" s="9">
        <v>0.264</v>
      </c>
      <c r="F7" s="1">
        <v>73</v>
      </c>
      <c r="G7" s="1">
        <f t="shared" ref="G7:G23" si="0">C7*F7</f>
        <v>6511.6</v>
      </c>
      <c r="H7" s="9">
        <v>1.17</v>
      </c>
      <c r="I7" s="1">
        <v>692</v>
      </c>
      <c r="J7" s="1">
        <f>J6+I7</f>
        <v>992</v>
      </c>
      <c r="K7" s="2">
        <v>3</v>
      </c>
      <c r="L7" s="23">
        <f>E7-评价标准!M7</f>
        <v>0.014</v>
      </c>
      <c r="M7" s="23">
        <f>N7-评价标准!N7</f>
        <v>-0.0321047439691506</v>
      </c>
      <c r="N7" s="24">
        <f>G7/G6</f>
        <v>1.16789525603085</v>
      </c>
    </row>
    <row r="8" ht="13.85" spans="1:14">
      <c r="A8" s="2">
        <v>2</v>
      </c>
      <c r="B8" s="2">
        <v>11280</v>
      </c>
      <c r="C8" s="1">
        <v>91.2</v>
      </c>
      <c r="D8" s="1">
        <v>4.44</v>
      </c>
      <c r="E8" s="9">
        <v>0.229</v>
      </c>
      <c r="F8" s="1">
        <v>82</v>
      </c>
      <c r="G8" s="1">
        <f t="shared" si="0"/>
        <v>7478.4</v>
      </c>
      <c r="H8" s="9">
        <v>1.14</v>
      </c>
      <c r="I8" s="1">
        <v>669</v>
      </c>
      <c r="J8" s="1">
        <f t="shared" ref="J8:J23" si="1">J7+I8</f>
        <v>1661</v>
      </c>
      <c r="K8" s="2">
        <v>3</v>
      </c>
      <c r="L8" s="23">
        <f>E8-评价标准!M8</f>
        <v>-0.001</v>
      </c>
      <c r="M8" s="23">
        <f>N8-评价标准!N8</f>
        <v>-0.251526506542171</v>
      </c>
      <c r="N8" s="24">
        <f t="shared" ref="N8:N23" si="2">G8/G7</f>
        <v>1.14847349345783</v>
      </c>
    </row>
    <row r="9" ht="13.85" spans="1:14">
      <c r="A9" s="2">
        <v>3</v>
      </c>
      <c r="B9" s="2">
        <v>13318</v>
      </c>
      <c r="C9" s="1">
        <v>94.6</v>
      </c>
      <c r="D9" s="1">
        <v>4.34</v>
      </c>
      <c r="E9" s="9">
        <v>0.166</v>
      </c>
      <c r="F9" s="1">
        <v>108</v>
      </c>
      <c r="G9" s="1">
        <f t="shared" si="0"/>
        <v>10216.8</v>
      </c>
      <c r="H9" s="9">
        <v>1.36</v>
      </c>
      <c r="I9" s="1">
        <v>770</v>
      </c>
      <c r="J9" s="1">
        <f t="shared" si="1"/>
        <v>2431</v>
      </c>
      <c r="K9" s="2">
        <v>3</v>
      </c>
      <c r="L9" s="23">
        <f>E9-评价标准!M9</f>
        <v>-0.034</v>
      </c>
      <c r="M9" s="23">
        <f>N9-评价标准!N9</f>
        <v>0.0161745827984592</v>
      </c>
      <c r="N9" s="24">
        <f t="shared" si="2"/>
        <v>1.36617458279846</v>
      </c>
    </row>
    <row r="10" ht="13.85" spans="1:14">
      <c r="A10" s="2">
        <v>4</v>
      </c>
      <c r="B10" s="2">
        <v>15581</v>
      </c>
      <c r="C10" s="1">
        <v>96.9</v>
      </c>
      <c r="D10" s="1">
        <v>4.79</v>
      </c>
      <c r="E10" s="9">
        <v>0.131</v>
      </c>
      <c r="F10" s="1">
        <v>136</v>
      </c>
      <c r="G10" s="1">
        <f t="shared" si="0"/>
        <v>13178.4</v>
      </c>
      <c r="H10" s="9">
        <v>1.29</v>
      </c>
      <c r="I10" s="1">
        <v>1118</v>
      </c>
      <c r="J10" s="1">
        <f t="shared" si="1"/>
        <v>3549</v>
      </c>
      <c r="K10" s="2">
        <v>2</v>
      </c>
      <c r="L10" s="23">
        <f>E10-评价标准!M10</f>
        <v>-0.049</v>
      </c>
      <c r="M10" s="23">
        <f>N10-评价标准!N10</f>
        <v>-0.0401245008221751</v>
      </c>
      <c r="N10" s="24">
        <f t="shared" si="2"/>
        <v>1.28987549917782</v>
      </c>
    </row>
    <row r="11" ht="13.85" spans="1:14">
      <c r="A11" s="2">
        <v>5</v>
      </c>
      <c r="B11" s="2">
        <v>16712</v>
      </c>
      <c r="C11" s="1">
        <v>101</v>
      </c>
      <c r="D11" s="1">
        <v>5.05</v>
      </c>
      <c r="E11" s="9">
        <v>0.138</v>
      </c>
      <c r="F11" s="1">
        <v>163</v>
      </c>
      <c r="G11" s="1">
        <f t="shared" si="0"/>
        <v>16463</v>
      </c>
      <c r="H11" s="9">
        <v>1.25</v>
      </c>
      <c r="I11" s="1">
        <v>1255</v>
      </c>
      <c r="J11" s="1">
        <f t="shared" si="1"/>
        <v>4804</v>
      </c>
      <c r="K11" s="2">
        <v>2</v>
      </c>
      <c r="L11" s="23">
        <f>E11-评价标准!M11</f>
        <v>-0.022</v>
      </c>
      <c r="M11" s="23">
        <f>N11-评价标准!N11</f>
        <v>-0.0507588174588722</v>
      </c>
      <c r="N11" s="24">
        <f t="shared" si="2"/>
        <v>1.24924118254113</v>
      </c>
    </row>
    <row r="12" ht="13.85" spans="1:14">
      <c r="A12" s="2">
        <v>6</v>
      </c>
      <c r="B12" s="2">
        <v>17952</v>
      </c>
      <c r="C12" s="1">
        <v>104</v>
      </c>
      <c r="D12" s="1">
        <v>5.62</v>
      </c>
      <c r="E12" s="9">
        <v>0.153</v>
      </c>
      <c r="F12" s="1">
        <v>187</v>
      </c>
      <c r="G12" s="1">
        <f t="shared" si="0"/>
        <v>19448</v>
      </c>
      <c r="H12" s="9">
        <v>1.18</v>
      </c>
      <c r="I12" s="1">
        <v>1188</v>
      </c>
      <c r="J12" s="1">
        <f t="shared" si="1"/>
        <v>5992</v>
      </c>
      <c r="K12" s="2">
        <v>2</v>
      </c>
      <c r="L12" s="23">
        <f>E12-评价标准!M12</f>
        <v>0.013</v>
      </c>
      <c r="M12" s="23">
        <f>N12-评价标准!N12</f>
        <v>-0.068684322419972</v>
      </c>
      <c r="N12" s="24">
        <f t="shared" si="2"/>
        <v>1.18131567758003</v>
      </c>
    </row>
    <row r="13" ht="13.85" spans="1:14">
      <c r="A13" s="2">
        <v>7</v>
      </c>
      <c r="B13" s="2">
        <v>19384</v>
      </c>
      <c r="C13" s="1">
        <v>109.4</v>
      </c>
      <c r="D13" s="1">
        <v>5.98</v>
      </c>
      <c r="E13" s="9">
        <v>0.113</v>
      </c>
      <c r="F13" s="1">
        <v>204</v>
      </c>
      <c r="G13" s="1">
        <f t="shared" si="0"/>
        <v>22317.6</v>
      </c>
      <c r="H13" s="9">
        <v>1.15</v>
      </c>
      <c r="I13" s="1">
        <v>1338</v>
      </c>
      <c r="J13" s="1">
        <f t="shared" si="1"/>
        <v>7330</v>
      </c>
      <c r="K13" s="2">
        <v>3</v>
      </c>
      <c r="L13" s="23">
        <f>E13-评价标准!M13</f>
        <v>-0.017</v>
      </c>
      <c r="M13" s="23">
        <f>N13-评价标准!N13</f>
        <v>-0.0624475524475523</v>
      </c>
      <c r="N13" s="24">
        <f t="shared" si="2"/>
        <v>1.14755244755245</v>
      </c>
    </row>
    <row r="14" ht="13.85" spans="1:14">
      <c r="A14" s="2">
        <v>8</v>
      </c>
      <c r="B14" s="2">
        <v>20015</v>
      </c>
      <c r="C14" s="1">
        <v>113</v>
      </c>
      <c r="D14" s="1">
        <v>6.14</v>
      </c>
      <c r="E14" s="9">
        <v>0.119</v>
      </c>
      <c r="F14" s="1">
        <v>220</v>
      </c>
      <c r="G14" s="1">
        <f t="shared" si="0"/>
        <v>24860</v>
      </c>
      <c r="H14" s="9">
        <v>1.11</v>
      </c>
      <c r="I14" s="1">
        <v>1601</v>
      </c>
      <c r="J14" s="1">
        <f t="shared" si="1"/>
        <v>8931</v>
      </c>
      <c r="K14" s="2">
        <v>3</v>
      </c>
      <c r="L14" s="23">
        <f>E14-评价标准!M14</f>
        <v>-0.001</v>
      </c>
      <c r="M14" s="23">
        <f>N14-评价标准!N14</f>
        <v>-0.0760809406029324</v>
      </c>
      <c r="N14" s="24">
        <f t="shared" si="2"/>
        <v>1.11391905939707</v>
      </c>
    </row>
    <row r="15" ht="13.85" spans="1:14">
      <c r="A15" s="2">
        <v>9</v>
      </c>
      <c r="B15" s="2">
        <v>16696</v>
      </c>
      <c r="C15" s="1">
        <v>117.3</v>
      </c>
      <c r="D15" s="1">
        <v>6.2</v>
      </c>
      <c r="E15" s="9">
        <v>0.087</v>
      </c>
      <c r="F15" s="1">
        <v>235</v>
      </c>
      <c r="G15" s="1">
        <f t="shared" si="0"/>
        <v>27565.5</v>
      </c>
      <c r="H15" s="9">
        <v>1.11</v>
      </c>
      <c r="I15" s="1">
        <v>1753</v>
      </c>
      <c r="J15" s="1">
        <f t="shared" si="1"/>
        <v>10684</v>
      </c>
      <c r="K15" s="2">
        <v>2</v>
      </c>
      <c r="L15" s="23">
        <f>E15-评价标准!M15</f>
        <v>-0.023</v>
      </c>
      <c r="M15" s="23">
        <f>N15-评价标准!N15</f>
        <v>-0.0611705551086081</v>
      </c>
      <c r="N15" s="24">
        <f t="shared" si="2"/>
        <v>1.10882944489139</v>
      </c>
    </row>
    <row r="16" ht="13.85" spans="1:14">
      <c r="A16" s="2">
        <v>10</v>
      </c>
      <c r="B16" s="2">
        <v>20067</v>
      </c>
      <c r="C16" s="1">
        <v>121.6</v>
      </c>
      <c r="D16" s="1">
        <v>6.27</v>
      </c>
      <c r="E16" s="9">
        <v>0.393</v>
      </c>
      <c r="F16" s="1">
        <v>250</v>
      </c>
      <c r="G16" s="1">
        <f t="shared" si="0"/>
        <v>30400</v>
      </c>
      <c r="H16" s="9">
        <v>1.1</v>
      </c>
      <c r="I16" s="1">
        <v>1728</v>
      </c>
      <c r="J16" s="1">
        <f t="shared" si="1"/>
        <v>12412</v>
      </c>
      <c r="K16" s="2">
        <v>3</v>
      </c>
      <c r="L16" s="23">
        <f>E16-评价标准!M16</f>
        <v>0.293</v>
      </c>
      <c r="M16" s="23">
        <f>N16-评价标准!N16</f>
        <v>-0.0471721898750248</v>
      </c>
      <c r="N16" s="24">
        <f t="shared" si="2"/>
        <v>1.10282781012498</v>
      </c>
    </row>
    <row r="17" ht="13.85" spans="1:14">
      <c r="A17" s="2">
        <v>11</v>
      </c>
      <c r="B17" s="2">
        <v>20026</v>
      </c>
      <c r="C17" s="1">
        <v>125.8</v>
      </c>
      <c r="D17" s="1">
        <v>6.4</v>
      </c>
      <c r="E17" s="9">
        <v>0.064</v>
      </c>
      <c r="F17" s="1">
        <v>263</v>
      </c>
      <c r="G17" s="1">
        <f t="shared" si="0"/>
        <v>33085.4</v>
      </c>
      <c r="H17" s="9">
        <v>1.09</v>
      </c>
      <c r="I17" s="1">
        <v>1706</v>
      </c>
      <c r="J17" s="1">
        <f t="shared" si="1"/>
        <v>14118</v>
      </c>
      <c r="K17" s="2">
        <v>3.5</v>
      </c>
      <c r="L17" s="23">
        <f>E17-评价标准!M17</f>
        <v>-0.026</v>
      </c>
      <c r="M17" s="23">
        <f>N17-评价标准!N17</f>
        <v>-0.0416644736842104</v>
      </c>
      <c r="N17" s="24">
        <f t="shared" si="2"/>
        <v>1.08833552631579</v>
      </c>
    </row>
    <row r="18" ht="13.85" spans="1:14">
      <c r="A18" s="2">
        <v>12</v>
      </c>
      <c r="B18" s="2">
        <v>20079</v>
      </c>
      <c r="C18" s="1">
        <v>131.1</v>
      </c>
      <c r="D18" s="1">
        <v>6.39</v>
      </c>
      <c r="E18" s="9">
        <v>0.066</v>
      </c>
      <c r="F18" s="1">
        <v>275</v>
      </c>
      <c r="G18" s="1">
        <f t="shared" si="0"/>
        <v>36052.5</v>
      </c>
      <c r="H18" s="9">
        <v>1.09</v>
      </c>
      <c r="I18" s="1">
        <v>1962</v>
      </c>
      <c r="J18" s="1">
        <f t="shared" si="1"/>
        <v>16080</v>
      </c>
      <c r="K18" s="2">
        <v>3</v>
      </c>
      <c r="L18" s="23">
        <f>E18-评价标准!M18</f>
        <v>-0.014</v>
      </c>
      <c r="M18" s="23">
        <f>N18-评价标准!N18</f>
        <v>-0.0203199598614496</v>
      </c>
      <c r="N18" s="24">
        <f t="shared" si="2"/>
        <v>1.08968004013855</v>
      </c>
    </row>
    <row r="19" ht="13.85" spans="1:14">
      <c r="A19" s="2">
        <v>13</v>
      </c>
      <c r="B19" s="2">
        <v>20132</v>
      </c>
      <c r="C19" s="1">
        <v>135.1</v>
      </c>
      <c r="D19" s="1">
        <v>6.48</v>
      </c>
      <c r="E19" s="9">
        <v>0.056</v>
      </c>
      <c r="F19" s="1">
        <v>284</v>
      </c>
      <c r="G19" s="1">
        <f t="shared" si="0"/>
        <v>38368.4</v>
      </c>
      <c r="H19" s="9">
        <v>1.06</v>
      </c>
      <c r="I19" s="1">
        <v>1863</v>
      </c>
      <c r="J19" s="1">
        <f t="shared" si="1"/>
        <v>17943</v>
      </c>
      <c r="K19" s="2">
        <v>3.5</v>
      </c>
      <c r="L19" s="23">
        <f>E19-评价标准!M19</f>
        <v>-0.014</v>
      </c>
      <c r="M19" s="23">
        <f>N19-评价标准!N19</f>
        <v>-0.0257631232230775</v>
      </c>
      <c r="N19" s="24">
        <f t="shared" si="2"/>
        <v>1.06423687677692</v>
      </c>
    </row>
    <row r="20" ht="13.85" spans="1:14">
      <c r="A20" s="2">
        <v>14</v>
      </c>
      <c r="B20" s="2">
        <v>19540</v>
      </c>
      <c r="C20" s="1">
        <v>139.2</v>
      </c>
      <c r="D20" s="1">
        <v>6.88</v>
      </c>
      <c r="E20" s="9">
        <v>0.024</v>
      </c>
      <c r="F20" s="1">
        <v>290</v>
      </c>
      <c r="G20" s="1">
        <f t="shared" si="0"/>
        <v>40368</v>
      </c>
      <c r="H20" s="9">
        <v>1.05</v>
      </c>
      <c r="I20" s="1">
        <v>1816</v>
      </c>
      <c r="J20" s="1">
        <f t="shared" si="1"/>
        <v>19759</v>
      </c>
      <c r="K20" s="2">
        <v>3</v>
      </c>
      <c r="L20" s="23">
        <f>E20-评价标准!M20</f>
        <v>-0.026</v>
      </c>
      <c r="M20" s="23">
        <f>N20-评价标准!N20</f>
        <v>-0.0178841963699294</v>
      </c>
      <c r="N20" s="24">
        <f t="shared" si="2"/>
        <v>1.05211580363007</v>
      </c>
    </row>
    <row r="21" ht="13.85" spans="1:14">
      <c r="A21" s="2">
        <v>15</v>
      </c>
      <c r="B21" s="2">
        <v>18439</v>
      </c>
      <c r="C21" s="1">
        <v>143.5</v>
      </c>
      <c r="D21" s="1">
        <v>6.87</v>
      </c>
      <c r="E21" s="9">
        <v>0.035</v>
      </c>
      <c r="F21" s="1">
        <v>295</v>
      </c>
      <c r="G21" s="1">
        <f t="shared" si="0"/>
        <v>42332.5</v>
      </c>
      <c r="H21" s="9">
        <v>1.05</v>
      </c>
      <c r="I21" s="1">
        <v>2015</v>
      </c>
      <c r="J21" s="1">
        <f t="shared" si="1"/>
        <v>21774</v>
      </c>
      <c r="K21" s="2">
        <v>3</v>
      </c>
      <c r="L21" s="23">
        <f>E21-评价标准!M21</f>
        <v>0.005</v>
      </c>
      <c r="M21" s="23">
        <f>N21-评价标准!N21</f>
        <v>-0.00133521601268338</v>
      </c>
      <c r="N21" s="24">
        <f t="shared" si="2"/>
        <v>1.04866478398732</v>
      </c>
    </row>
    <row r="22" ht="13.85" spans="1:14">
      <c r="A22" s="2">
        <v>16</v>
      </c>
      <c r="B22" s="2">
        <v>14931</v>
      </c>
      <c r="C22" s="1">
        <v>146.9</v>
      </c>
      <c r="D22" s="1">
        <v>7.18</v>
      </c>
      <c r="E22" s="9">
        <v>0.025</v>
      </c>
      <c r="F22" s="1">
        <v>297</v>
      </c>
      <c r="G22" s="1">
        <f t="shared" si="0"/>
        <v>43629.3</v>
      </c>
      <c r="H22" s="9">
        <v>1.03</v>
      </c>
      <c r="I22" s="1">
        <v>999</v>
      </c>
      <c r="J22" s="1">
        <f t="shared" si="1"/>
        <v>22773</v>
      </c>
      <c r="K22" s="2">
        <v>2.5</v>
      </c>
      <c r="L22" s="23">
        <f>E22-评价标准!M22</f>
        <v>0.015</v>
      </c>
      <c r="M22" s="23">
        <f>N22-评价标准!N22</f>
        <v>0.0106336738912183</v>
      </c>
      <c r="N22" s="24">
        <f t="shared" si="2"/>
        <v>1.03063367389122</v>
      </c>
    </row>
    <row r="23" ht="13.85" spans="1:14">
      <c r="A23" s="2">
        <v>17</v>
      </c>
      <c r="B23" s="2">
        <v>49944</v>
      </c>
      <c r="C23" s="1">
        <v>146.9</v>
      </c>
      <c r="D23" s="1">
        <v>7.38</v>
      </c>
      <c r="E23" s="11">
        <v>0.01</v>
      </c>
      <c r="F23" s="1">
        <v>297</v>
      </c>
      <c r="G23" s="12">
        <f t="shared" si="0"/>
        <v>43629.3</v>
      </c>
      <c r="H23" s="9">
        <v>1</v>
      </c>
      <c r="I23" s="1">
        <v>127</v>
      </c>
      <c r="J23" s="1">
        <f t="shared" si="1"/>
        <v>22900</v>
      </c>
      <c r="K23" s="2"/>
      <c r="L23" s="23">
        <f>E23-评价标准!M23</f>
        <v>0.005</v>
      </c>
      <c r="M23" s="23">
        <f>N23-评价标准!N23</f>
        <v>0</v>
      </c>
      <c r="N23" s="24">
        <f t="shared" si="2"/>
        <v>1</v>
      </c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6"/>
  <sheetViews>
    <sheetView workbookViewId="0">
      <selection activeCell="J5" sqref="J5:N5"/>
    </sheetView>
  </sheetViews>
  <sheetFormatPr defaultColWidth="9" defaultRowHeight="12.75"/>
  <cols>
    <col min="1" max="1" width="12.2654867256637" customWidth="1"/>
    <col min="5" max="5" width="12.6371681415929" customWidth="1"/>
    <col min="7" max="7" width="11.4513274336283" customWidth="1"/>
    <col min="8" max="8" width="11.6371681415929"/>
    <col min="12" max="12" width="12.3628318584071" customWidth="1"/>
    <col min="13" max="13" width="13.2654867256637" customWidth="1"/>
  </cols>
  <sheetData>
    <row r="2" ht="13.85" spans="1:8">
      <c r="A2" s="1" t="s">
        <v>183</v>
      </c>
      <c r="B2" s="1">
        <v>2598</v>
      </c>
      <c r="D2" s="2" t="s">
        <v>202</v>
      </c>
      <c r="E2" s="2">
        <v>2580</v>
      </c>
      <c r="G2" s="2" t="s">
        <v>184</v>
      </c>
      <c r="H2" s="3">
        <f>G23-E4</f>
        <v>39068.9232995658</v>
      </c>
    </row>
    <row r="3" ht="13.85" spans="1:10">
      <c r="A3" s="1" t="s">
        <v>185</v>
      </c>
      <c r="B3" s="1">
        <v>167</v>
      </c>
      <c r="D3" s="2" t="s">
        <v>203</v>
      </c>
      <c r="E3" s="2">
        <v>7.6</v>
      </c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>
        <f>43070*E3/69.1</f>
        <v>4737.07670043415</v>
      </c>
      <c r="F4" s="4"/>
      <c r="G4" s="4"/>
      <c r="H4" s="4"/>
      <c r="I4" s="4"/>
      <c r="J4" s="4"/>
    </row>
    <row r="5" ht="13.85" spans="1:14">
      <c r="A5" s="2" t="s">
        <v>187</v>
      </c>
      <c r="B5" s="6" t="s">
        <v>188</v>
      </c>
      <c r="C5" s="7" t="s">
        <v>189</v>
      </c>
      <c r="D5" s="7" t="s">
        <v>128</v>
      </c>
      <c r="E5" s="7" t="s">
        <v>190</v>
      </c>
      <c r="F5" s="7" t="s">
        <v>191</v>
      </c>
      <c r="G5" s="7" t="s">
        <v>145</v>
      </c>
      <c r="H5" s="7" t="s">
        <v>192</v>
      </c>
      <c r="I5" s="25" t="s">
        <v>193</v>
      </c>
      <c r="J5" s="14" t="s">
        <v>194</v>
      </c>
      <c r="K5" s="1" t="s">
        <v>195</v>
      </c>
      <c r="L5" s="22" t="s">
        <v>206</v>
      </c>
      <c r="M5" s="22" t="s">
        <v>207</v>
      </c>
      <c r="N5" s="22" t="s">
        <v>208</v>
      </c>
    </row>
    <row r="6" ht="13.85" spans="1:13">
      <c r="A6" s="2">
        <v>0</v>
      </c>
      <c r="B6" s="2">
        <v>9027</v>
      </c>
      <c r="C6" s="1">
        <v>883</v>
      </c>
      <c r="D6" s="1">
        <v>5.17</v>
      </c>
      <c r="E6" s="9">
        <v>0.155</v>
      </c>
      <c r="F6" s="15">
        <v>62</v>
      </c>
      <c r="G6" s="1">
        <v>5475</v>
      </c>
      <c r="H6" s="13"/>
      <c r="I6" s="13"/>
      <c r="J6" s="1">
        <v>300</v>
      </c>
      <c r="K6" s="13"/>
      <c r="L6" s="23">
        <f>E6-评价标准!M6</f>
        <v>-0.045</v>
      </c>
      <c r="M6" s="23"/>
    </row>
    <row r="7" ht="13.85" spans="1:14">
      <c r="A7" s="2">
        <v>1</v>
      </c>
      <c r="B7" s="2">
        <v>8972</v>
      </c>
      <c r="C7" s="1">
        <v>897</v>
      </c>
      <c r="D7" s="1">
        <v>4.61</v>
      </c>
      <c r="E7" s="9">
        <v>0.227</v>
      </c>
      <c r="F7" s="15">
        <v>72</v>
      </c>
      <c r="G7" s="1">
        <v>6458</v>
      </c>
      <c r="H7" s="9">
        <v>1.18</v>
      </c>
      <c r="I7" s="1">
        <v>508</v>
      </c>
      <c r="J7" s="1">
        <f>J6+I7</f>
        <v>808</v>
      </c>
      <c r="K7" s="2">
        <v>3.5</v>
      </c>
      <c r="L7" s="23">
        <f>E7-评价标准!M7</f>
        <v>-0.023</v>
      </c>
      <c r="M7" s="23">
        <f>N7-评价标准!N7</f>
        <v>-0.0204566210045662</v>
      </c>
      <c r="N7" s="24">
        <f>G7/G6</f>
        <v>1.17954337899543</v>
      </c>
    </row>
    <row r="8" ht="13.85" spans="1:14">
      <c r="A8" s="2">
        <v>2</v>
      </c>
      <c r="B8" s="2">
        <v>10016</v>
      </c>
      <c r="C8" s="1">
        <v>923</v>
      </c>
      <c r="D8" s="1">
        <v>4.31</v>
      </c>
      <c r="E8" s="9">
        <v>0.225</v>
      </c>
      <c r="F8" s="15">
        <v>104</v>
      </c>
      <c r="G8" s="1">
        <v>9599</v>
      </c>
      <c r="H8" s="9">
        <v>1.49</v>
      </c>
      <c r="I8" s="1">
        <v>606</v>
      </c>
      <c r="J8" s="1">
        <f t="shared" ref="J8:J23" si="0">J7+I8</f>
        <v>1414</v>
      </c>
      <c r="K8" s="2">
        <v>4</v>
      </c>
      <c r="L8" s="23">
        <f>E8-评价标准!M8</f>
        <v>-0.005</v>
      </c>
      <c r="M8" s="23">
        <f>N8-评价标准!N8</f>
        <v>0.0863734902446578</v>
      </c>
      <c r="N8" s="24">
        <f t="shared" ref="N8:N23" si="1">G8/G7</f>
        <v>1.48637349024466</v>
      </c>
    </row>
    <row r="9" ht="13.85" spans="1:14">
      <c r="A9" s="2">
        <v>3</v>
      </c>
      <c r="B9" s="2">
        <v>12076</v>
      </c>
      <c r="C9" s="1">
        <v>942</v>
      </c>
      <c r="D9" s="1">
        <v>4.41</v>
      </c>
      <c r="E9" s="9">
        <v>0.192</v>
      </c>
      <c r="F9" s="15">
        <v>122</v>
      </c>
      <c r="G9" s="1">
        <v>11492</v>
      </c>
      <c r="H9" s="9">
        <v>1.2</v>
      </c>
      <c r="I9" s="1">
        <v>741</v>
      </c>
      <c r="J9" s="1">
        <f t="shared" si="0"/>
        <v>2155</v>
      </c>
      <c r="K9" s="2">
        <v>4</v>
      </c>
      <c r="L9" s="23">
        <f>E9-评价标准!M9</f>
        <v>-0.00800000000000001</v>
      </c>
      <c r="M9" s="23">
        <f>N9-评价标准!N9</f>
        <v>-0.152791957495573</v>
      </c>
      <c r="N9" s="24">
        <f t="shared" si="1"/>
        <v>1.19720804250443</v>
      </c>
    </row>
    <row r="10" ht="13.85" spans="1:14">
      <c r="A10" s="2">
        <v>4</v>
      </c>
      <c r="B10" s="2">
        <v>14267</v>
      </c>
      <c r="C10" s="1">
        <v>961</v>
      </c>
      <c r="D10" s="1">
        <v>4.55</v>
      </c>
      <c r="E10" s="9">
        <v>0.146</v>
      </c>
      <c r="F10" s="15">
        <v>140</v>
      </c>
      <c r="G10" s="1">
        <v>13454</v>
      </c>
      <c r="H10" s="9">
        <v>1.17</v>
      </c>
      <c r="I10" s="1">
        <v>819</v>
      </c>
      <c r="J10" s="1">
        <f t="shared" si="0"/>
        <v>2974</v>
      </c>
      <c r="K10" s="2">
        <v>3.5</v>
      </c>
      <c r="L10" s="23">
        <f>E10-评价标准!M10</f>
        <v>-0.034</v>
      </c>
      <c r="M10" s="23">
        <f>N10-评价标准!N10</f>
        <v>-0.159272537417334</v>
      </c>
      <c r="N10" s="24">
        <f t="shared" si="1"/>
        <v>1.17072746258267</v>
      </c>
    </row>
    <row r="11" ht="13.85" spans="1:14">
      <c r="A11" s="2">
        <v>5</v>
      </c>
      <c r="B11" s="2">
        <v>16566</v>
      </c>
      <c r="C11" s="1">
        <v>987</v>
      </c>
      <c r="D11" s="1">
        <v>4.78</v>
      </c>
      <c r="E11" s="9">
        <v>0.104</v>
      </c>
      <c r="F11" s="15">
        <v>158</v>
      </c>
      <c r="G11" s="1">
        <v>15595</v>
      </c>
      <c r="H11" s="9">
        <v>1.16</v>
      </c>
      <c r="I11" s="1">
        <v>1079</v>
      </c>
      <c r="J11" s="1">
        <f t="shared" si="0"/>
        <v>4053</v>
      </c>
      <c r="K11" s="2">
        <v>3</v>
      </c>
      <c r="L11" s="23">
        <f>E11-评价标准!M11</f>
        <v>-0.056</v>
      </c>
      <c r="M11" s="23">
        <f>N11-评价标准!N11</f>
        <v>-0.140865170209603</v>
      </c>
      <c r="N11" s="24">
        <f t="shared" si="1"/>
        <v>1.1591348297904</v>
      </c>
    </row>
    <row r="12" ht="13.85" spans="1:14">
      <c r="A12" s="2">
        <v>6</v>
      </c>
      <c r="B12" s="2">
        <v>17386</v>
      </c>
      <c r="C12" s="1">
        <v>1020</v>
      </c>
      <c r="D12" s="1">
        <v>5.23</v>
      </c>
      <c r="E12" s="9">
        <v>0.088</v>
      </c>
      <c r="F12" s="15">
        <v>176</v>
      </c>
      <c r="G12" s="1">
        <v>17952</v>
      </c>
      <c r="H12" s="9">
        <v>1.15</v>
      </c>
      <c r="I12" s="1">
        <v>1400</v>
      </c>
      <c r="J12" s="1">
        <f t="shared" si="0"/>
        <v>5453</v>
      </c>
      <c r="K12" s="2">
        <v>3.5</v>
      </c>
      <c r="L12" s="23">
        <f>E12-评价标准!M12</f>
        <v>-0.052</v>
      </c>
      <c r="M12" s="23">
        <f>N12-评价标准!N12</f>
        <v>-0.0988618146841937</v>
      </c>
      <c r="N12" s="24">
        <f t="shared" si="1"/>
        <v>1.15113818531581</v>
      </c>
    </row>
    <row r="13" ht="13.85" spans="1:14">
      <c r="A13" s="2">
        <v>7</v>
      </c>
      <c r="B13" s="2">
        <v>19026</v>
      </c>
      <c r="C13" s="1">
        <v>1059</v>
      </c>
      <c r="D13" s="1">
        <v>5.77</v>
      </c>
      <c r="E13" s="9">
        <v>0.059</v>
      </c>
      <c r="F13" s="15">
        <v>198</v>
      </c>
      <c r="G13" s="1">
        <v>20968</v>
      </c>
      <c r="H13" s="9">
        <v>1.17</v>
      </c>
      <c r="I13" s="1">
        <v>1425</v>
      </c>
      <c r="J13" s="1">
        <f t="shared" si="0"/>
        <v>6878</v>
      </c>
      <c r="K13" s="2">
        <v>2</v>
      </c>
      <c r="L13" s="23">
        <f>E13-评价标准!M13</f>
        <v>-0.071</v>
      </c>
      <c r="M13" s="23">
        <f>N13-评价标准!N13</f>
        <v>-0.0419964349376114</v>
      </c>
      <c r="N13" s="24">
        <f t="shared" si="1"/>
        <v>1.16800356506239</v>
      </c>
    </row>
    <row r="14" ht="13.85" spans="1:14">
      <c r="A14" s="2">
        <v>8</v>
      </c>
      <c r="B14" s="2">
        <v>19894</v>
      </c>
      <c r="C14" s="1">
        <v>1122</v>
      </c>
      <c r="D14" s="1">
        <v>6.16</v>
      </c>
      <c r="E14" s="9">
        <v>0.079</v>
      </c>
      <c r="F14" s="15">
        <v>213</v>
      </c>
      <c r="G14" s="1">
        <v>23898</v>
      </c>
      <c r="H14" s="9">
        <v>1.14</v>
      </c>
      <c r="I14" s="1">
        <v>1780</v>
      </c>
      <c r="J14" s="1">
        <f t="shared" si="0"/>
        <v>8658</v>
      </c>
      <c r="K14" s="2">
        <v>3</v>
      </c>
      <c r="L14" s="23">
        <f>E14-评价标准!M14</f>
        <v>-0.041</v>
      </c>
      <c r="M14" s="23">
        <f>N14-评价标准!N14</f>
        <v>-0.0502632582983593</v>
      </c>
      <c r="N14" s="24">
        <f t="shared" si="1"/>
        <v>1.13973674170164</v>
      </c>
    </row>
    <row r="15" ht="13.85" spans="1:14">
      <c r="A15" s="2">
        <v>9</v>
      </c>
      <c r="B15" s="2">
        <v>19794</v>
      </c>
      <c r="C15" s="1">
        <v>1160</v>
      </c>
      <c r="D15" s="1">
        <v>6.19</v>
      </c>
      <c r="E15" s="9">
        <v>0.074</v>
      </c>
      <c r="F15" s="15">
        <v>228</v>
      </c>
      <c r="G15" s="1">
        <v>26448</v>
      </c>
      <c r="H15" s="9">
        <v>1.1</v>
      </c>
      <c r="I15" s="1">
        <v>1643</v>
      </c>
      <c r="J15" s="1">
        <f t="shared" si="0"/>
        <v>10301</v>
      </c>
      <c r="K15" s="2">
        <v>3</v>
      </c>
      <c r="L15" s="23">
        <f>E15-评价标准!M15</f>
        <v>-0.036</v>
      </c>
      <c r="M15" s="23">
        <f>N15-评价标准!N15</f>
        <v>-0.0632965101682148</v>
      </c>
      <c r="N15" s="24">
        <f t="shared" si="1"/>
        <v>1.10670348983179</v>
      </c>
    </row>
    <row r="16" ht="13.85" spans="1:14">
      <c r="A16" s="2">
        <v>10</v>
      </c>
      <c r="B16" s="2">
        <v>20240</v>
      </c>
      <c r="C16" s="1">
        <v>1206</v>
      </c>
      <c r="D16" s="1">
        <v>6.2</v>
      </c>
      <c r="E16" s="9">
        <v>0.076</v>
      </c>
      <c r="F16" s="15">
        <v>245</v>
      </c>
      <c r="G16" s="1">
        <v>29547</v>
      </c>
      <c r="H16" s="9">
        <v>1.18</v>
      </c>
      <c r="I16" s="1">
        <v>1884</v>
      </c>
      <c r="J16" s="1">
        <f t="shared" si="0"/>
        <v>12185</v>
      </c>
      <c r="K16" s="2">
        <v>4</v>
      </c>
      <c r="L16" s="23">
        <f>E16-评价标准!M16</f>
        <v>-0.024</v>
      </c>
      <c r="M16" s="23">
        <f>N16-评价标准!N16</f>
        <v>-0.0328266787658802</v>
      </c>
      <c r="N16" s="24">
        <f t="shared" si="1"/>
        <v>1.11717332123412</v>
      </c>
    </row>
    <row r="17" ht="13.85" spans="1:14">
      <c r="A17" s="2">
        <v>11</v>
      </c>
      <c r="B17" s="2">
        <v>19463</v>
      </c>
      <c r="C17" s="1">
        <v>1249</v>
      </c>
      <c r="D17" s="1">
        <v>4.79</v>
      </c>
      <c r="E17" s="9">
        <v>0.058</v>
      </c>
      <c r="F17" s="15">
        <v>266</v>
      </c>
      <c r="G17" s="1">
        <v>33223</v>
      </c>
      <c r="H17" s="9">
        <v>1.12</v>
      </c>
      <c r="I17" s="1">
        <v>1819</v>
      </c>
      <c r="J17" s="1">
        <f t="shared" si="0"/>
        <v>14004</v>
      </c>
      <c r="K17" s="2">
        <v>3</v>
      </c>
      <c r="L17" s="23">
        <f>E17-评价标准!M17</f>
        <v>-0.032</v>
      </c>
      <c r="M17" s="23">
        <f>N17-评价标准!N17</f>
        <v>-0.00558804616373898</v>
      </c>
      <c r="N17" s="24">
        <f t="shared" si="1"/>
        <v>1.12441195383626</v>
      </c>
    </row>
    <row r="18" ht="13.85" spans="1:14">
      <c r="A18" s="2">
        <v>12</v>
      </c>
      <c r="B18" s="2">
        <v>19970</v>
      </c>
      <c r="C18" s="1">
        <v>1283</v>
      </c>
      <c r="D18" s="1">
        <v>6.48</v>
      </c>
      <c r="E18" s="9">
        <v>0.043</v>
      </c>
      <c r="F18" s="15">
        <v>278</v>
      </c>
      <c r="G18" s="1">
        <v>35667</v>
      </c>
      <c r="H18" s="9">
        <v>1.07</v>
      </c>
      <c r="I18" s="1">
        <v>1900</v>
      </c>
      <c r="J18" s="1">
        <f t="shared" si="0"/>
        <v>15904</v>
      </c>
      <c r="K18" s="2">
        <v>3.5</v>
      </c>
      <c r="L18" s="23">
        <f>E18-评价标准!M18</f>
        <v>-0.037</v>
      </c>
      <c r="M18" s="23">
        <f>N18-评价标准!N18</f>
        <v>-0.0364365048309907</v>
      </c>
      <c r="N18" s="24">
        <f t="shared" si="1"/>
        <v>1.07356349516901</v>
      </c>
    </row>
    <row r="19" ht="13.85" spans="1:14">
      <c r="A19" s="2">
        <v>13</v>
      </c>
      <c r="B19" s="2">
        <v>20100</v>
      </c>
      <c r="C19" s="1">
        <v>1340</v>
      </c>
      <c r="D19" s="1">
        <v>6.53</v>
      </c>
      <c r="E19" s="9">
        <v>0.041</v>
      </c>
      <c r="F19" s="15">
        <v>291</v>
      </c>
      <c r="G19" s="1">
        <v>38994</v>
      </c>
      <c r="H19" s="9">
        <v>1.09</v>
      </c>
      <c r="I19" s="1">
        <v>1976</v>
      </c>
      <c r="J19" s="1">
        <f t="shared" si="0"/>
        <v>17880</v>
      </c>
      <c r="K19" s="2">
        <v>3.5</v>
      </c>
      <c r="L19" s="23">
        <f>E19-评价标准!M19</f>
        <v>-0.029</v>
      </c>
      <c r="M19" s="23">
        <f>N19-评价标准!N19</f>
        <v>0.00327950206072836</v>
      </c>
      <c r="N19" s="24">
        <f t="shared" si="1"/>
        <v>1.09327950206073</v>
      </c>
    </row>
    <row r="20" ht="13.85" spans="1:14">
      <c r="A20" s="2">
        <v>14</v>
      </c>
      <c r="B20" s="2">
        <v>19913</v>
      </c>
      <c r="C20" s="1">
        <v>1386</v>
      </c>
      <c r="D20" s="1">
        <v>6.9</v>
      </c>
      <c r="E20" s="9">
        <v>0.019</v>
      </c>
      <c r="F20" s="15">
        <v>296</v>
      </c>
      <c r="G20" s="1">
        <v>41025</v>
      </c>
      <c r="H20" s="9">
        <v>1.05</v>
      </c>
      <c r="I20" s="1">
        <v>1922</v>
      </c>
      <c r="J20" s="1">
        <f t="shared" si="0"/>
        <v>19802</v>
      </c>
      <c r="K20" s="2">
        <v>3</v>
      </c>
      <c r="L20" s="23">
        <f>E20-评价标准!M20</f>
        <v>-0.031</v>
      </c>
      <c r="M20" s="23">
        <f>N20-评价标准!N20</f>
        <v>-0.017915063855978</v>
      </c>
      <c r="N20" s="24">
        <f t="shared" si="1"/>
        <v>1.05208493614402</v>
      </c>
    </row>
    <row r="21" ht="13.85" spans="1:14">
      <c r="A21" s="2">
        <v>15</v>
      </c>
      <c r="B21" s="2">
        <v>18783</v>
      </c>
      <c r="C21" s="1">
        <v>1430</v>
      </c>
      <c r="D21" s="1">
        <v>6.89</v>
      </c>
      <c r="E21" s="9">
        <v>0.072</v>
      </c>
      <c r="F21" s="15">
        <v>298</v>
      </c>
      <c r="G21" s="1">
        <v>42614</v>
      </c>
      <c r="H21" s="9">
        <v>1.04</v>
      </c>
      <c r="I21" s="1">
        <v>1810</v>
      </c>
      <c r="J21" s="1">
        <f t="shared" si="0"/>
        <v>21612</v>
      </c>
      <c r="K21" s="2">
        <v>3</v>
      </c>
      <c r="L21" s="23">
        <f>E21-评价标准!M21</f>
        <v>0.042</v>
      </c>
      <c r="M21" s="23">
        <f>N21-评价标准!N21</f>
        <v>-0.011267519804997</v>
      </c>
      <c r="N21" s="24">
        <f t="shared" si="1"/>
        <v>1.038732480195</v>
      </c>
    </row>
    <row r="22" ht="13.85" spans="1:14">
      <c r="A22" s="2">
        <v>16</v>
      </c>
      <c r="B22" s="2">
        <v>13941</v>
      </c>
      <c r="C22" s="1">
        <v>1467</v>
      </c>
      <c r="D22" s="1">
        <v>7.22</v>
      </c>
      <c r="E22" s="9">
        <v>0.018</v>
      </c>
      <c r="F22" s="15">
        <v>298</v>
      </c>
      <c r="G22" s="1">
        <v>43716</v>
      </c>
      <c r="H22" s="9">
        <v>1.03</v>
      </c>
      <c r="I22" s="1">
        <v>1215</v>
      </c>
      <c r="J22" s="1">
        <f t="shared" si="0"/>
        <v>22827</v>
      </c>
      <c r="K22" s="2">
        <v>2</v>
      </c>
      <c r="L22" s="23">
        <f>E22-评价标准!M22</f>
        <v>0.008</v>
      </c>
      <c r="M22" s="23">
        <f>N22-评价标准!N22</f>
        <v>0.00586004599427414</v>
      </c>
      <c r="N22" s="24">
        <f t="shared" si="1"/>
        <v>1.02586004599427</v>
      </c>
    </row>
    <row r="23" ht="13.85" spans="1:14">
      <c r="A23" s="2">
        <v>17</v>
      </c>
      <c r="B23" s="2">
        <v>4990</v>
      </c>
      <c r="C23" s="1">
        <v>1470</v>
      </c>
      <c r="D23" s="1">
        <v>7.36</v>
      </c>
      <c r="E23" s="11">
        <v>0.206</v>
      </c>
      <c r="F23" s="15">
        <v>298</v>
      </c>
      <c r="G23" s="12">
        <v>43806</v>
      </c>
      <c r="H23" s="9">
        <v>1</v>
      </c>
      <c r="I23" s="1">
        <v>231</v>
      </c>
      <c r="J23" s="1">
        <f t="shared" si="0"/>
        <v>23058</v>
      </c>
      <c r="K23" s="2"/>
      <c r="L23" s="23">
        <f>E23-评价标准!M23</f>
        <v>0.201</v>
      </c>
      <c r="M23" s="23">
        <f>N23-评价标准!N23</f>
        <v>0.00205874279440033</v>
      </c>
      <c r="N23" s="24">
        <f t="shared" si="1"/>
        <v>1.0020587427944</v>
      </c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6"/>
  <sheetViews>
    <sheetView workbookViewId="0">
      <selection activeCell="J5" sqref="J5:N5"/>
    </sheetView>
  </sheetViews>
  <sheetFormatPr defaultColWidth="9" defaultRowHeight="12.75"/>
  <cols>
    <col min="1" max="1" width="13.9026548672566" customWidth="1"/>
    <col min="5" max="5" width="12.3628318584071" customWidth="1"/>
    <col min="7" max="7" width="11.5398230088496" customWidth="1"/>
    <col min="8" max="8" width="12.8141592920354"/>
    <col min="12" max="12" width="15.9026548672566" customWidth="1"/>
    <col min="13" max="13" width="14.9026548672566" customWidth="1"/>
  </cols>
  <sheetData>
    <row r="2" ht="13.85" spans="1:8">
      <c r="A2" s="1" t="s">
        <v>183</v>
      </c>
      <c r="B2" s="1">
        <v>2602</v>
      </c>
      <c r="D2" s="2" t="s">
        <v>202</v>
      </c>
      <c r="E2" s="2">
        <v>2580</v>
      </c>
      <c r="G2" s="2" t="s">
        <v>184</v>
      </c>
      <c r="H2" s="3">
        <f>G23-E4</f>
        <v>38383.8633863965</v>
      </c>
    </row>
    <row r="3" ht="13.85" spans="1:10">
      <c r="A3" s="1" t="s">
        <v>185</v>
      </c>
      <c r="B3" s="1">
        <v>167</v>
      </c>
      <c r="D3" s="2" t="s">
        <v>203</v>
      </c>
      <c r="E3" s="2">
        <v>7.8</v>
      </c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>
        <f>43070*E3/69.1</f>
        <v>4861.73661360347</v>
      </c>
      <c r="F4" s="4"/>
      <c r="G4" s="4"/>
      <c r="H4" s="4"/>
      <c r="I4" s="4"/>
      <c r="J4" s="4"/>
    </row>
    <row r="5" ht="13.85" spans="1:14">
      <c r="A5" s="2" t="s">
        <v>187</v>
      </c>
      <c r="B5" s="6" t="s">
        <v>188</v>
      </c>
      <c r="C5" s="7" t="s">
        <v>189</v>
      </c>
      <c r="D5" s="7" t="s">
        <v>128</v>
      </c>
      <c r="E5" s="7" t="s">
        <v>190</v>
      </c>
      <c r="F5" s="7" t="s">
        <v>191</v>
      </c>
      <c r="G5" s="7" t="s">
        <v>145</v>
      </c>
      <c r="H5" s="7" t="s">
        <v>192</v>
      </c>
      <c r="I5" s="25" t="s">
        <v>193</v>
      </c>
      <c r="J5" s="14" t="s">
        <v>194</v>
      </c>
      <c r="K5" s="1" t="s">
        <v>195</v>
      </c>
      <c r="L5" s="22" t="s">
        <v>206</v>
      </c>
      <c r="M5" s="22" t="s">
        <v>207</v>
      </c>
      <c r="N5" s="22" t="s">
        <v>208</v>
      </c>
    </row>
    <row r="6" ht="13.85" spans="1:13">
      <c r="A6" s="2">
        <v>0</v>
      </c>
      <c r="B6" s="2">
        <v>9225</v>
      </c>
      <c r="C6" s="1">
        <v>87.7</v>
      </c>
      <c r="D6" s="1">
        <v>5.1</v>
      </c>
      <c r="E6" s="9">
        <v>0.207</v>
      </c>
      <c r="F6" s="1">
        <v>62</v>
      </c>
      <c r="G6" s="1">
        <f>F6*C6</f>
        <v>5437.4</v>
      </c>
      <c r="H6" s="1"/>
      <c r="I6" s="1"/>
      <c r="J6" s="1">
        <v>300</v>
      </c>
      <c r="K6" s="13"/>
      <c r="L6" s="23">
        <f>E6-评价标准!M6</f>
        <v>0.00699999999999998</v>
      </c>
      <c r="M6" s="23"/>
    </row>
    <row r="7" ht="13.85" spans="1:14">
      <c r="A7" s="2">
        <v>1</v>
      </c>
      <c r="B7" s="2">
        <v>9310</v>
      </c>
      <c r="C7" s="1">
        <v>90</v>
      </c>
      <c r="D7" s="1">
        <v>4.62</v>
      </c>
      <c r="E7" s="9">
        <v>0.25</v>
      </c>
      <c r="F7" s="1">
        <v>71</v>
      </c>
      <c r="G7" s="1">
        <f t="shared" ref="G7:G23" si="0">F7*C7</f>
        <v>6390</v>
      </c>
      <c r="H7" s="9">
        <v>1.17</v>
      </c>
      <c r="I7" s="1">
        <v>726</v>
      </c>
      <c r="J7" s="1">
        <f>J6+I7</f>
        <v>1026</v>
      </c>
      <c r="K7" s="2">
        <v>5</v>
      </c>
      <c r="L7" s="23">
        <f>E7-评价标准!M7</f>
        <v>0</v>
      </c>
      <c r="M7" s="23">
        <f>N7-评价标准!N7</f>
        <v>-0.0248059734431898</v>
      </c>
      <c r="N7" s="24">
        <f>G7/G6</f>
        <v>1.17519402655681</v>
      </c>
    </row>
    <row r="8" ht="13.85" spans="1:14">
      <c r="A8" s="2">
        <v>2</v>
      </c>
      <c r="B8" s="2">
        <v>10734</v>
      </c>
      <c r="C8" s="1">
        <v>92.4</v>
      </c>
      <c r="D8" s="1">
        <v>4.18</v>
      </c>
      <c r="E8" s="9">
        <v>0.232</v>
      </c>
      <c r="F8" s="1">
        <v>91</v>
      </c>
      <c r="G8" s="1">
        <f t="shared" si="0"/>
        <v>8408.4</v>
      </c>
      <c r="H8" s="9">
        <v>1.32</v>
      </c>
      <c r="I8" s="1">
        <v>594</v>
      </c>
      <c r="J8" s="1">
        <f t="shared" ref="J8:J23" si="1">J7+I8</f>
        <v>1620</v>
      </c>
      <c r="K8" s="2">
        <v>2</v>
      </c>
      <c r="L8" s="23">
        <f>E8-评价标准!M8</f>
        <v>0.002</v>
      </c>
      <c r="M8" s="23">
        <f>N8-评价标准!N8</f>
        <v>-0.0841314553990611</v>
      </c>
      <c r="N8" s="24">
        <f t="shared" ref="N8:N23" si="2">G8/G7</f>
        <v>1.31586854460094</v>
      </c>
    </row>
    <row r="9" ht="13.85" spans="1:14">
      <c r="A9" s="2">
        <v>3</v>
      </c>
      <c r="B9" s="2">
        <v>13067</v>
      </c>
      <c r="C9" s="1">
        <v>92.8</v>
      </c>
      <c r="D9" s="1">
        <v>4.15</v>
      </c>
      <c r="E9" s="9">
        <v>0.195</v>
      </c>
      <c r="F9" s="1">
        <v>115</v>
      </c>
      <c r="G9" s="1">
        <f t="shared" si="0"/>
        <v>10672</v>
      </c>
      <c r="H9" s="9">
        <v>1.27</v>
      </c>
      <c r="I9" s="1">
        <v>700</v>
      </c>
      <c r="J9" s="1">
        <f t="shared" si="1"/>
        <v>2320</v>
      </c>
      <c r="K9" s="2">
        <v>3</v>
      </c>
      <c r="L9" s="23">
        <f>E9-评价标准!M9</f>
        <v>-0.005</v>
      </c>
      <c r="M9" s="23">
        <f>N9-评价标准!N9</f>
        <v>-0.0807930165073023</v>
      </c>
      <c r="N9" s="24">
        <f t="shared" si="2"/>
        <v>1.2692069834927</v>
      </c>
    </row>
    <row r="10" ht="13.85" spans="1:14">
      <c r="A10" s="2">
        <v>4</v>
      </c>
      <c r="B10" s="2">
        <v>15140</v>
      </c>
      <c r="C10" s="1">
        <v>96.3</v>
      </c>
      <c r="D10" s="1">
        <v>4.43</v>
      </c>
      <c r="E10" s="9">
        <v>0.099</v>
      </c>
      <c r="F10" s="1">
        <v>138</v>
      </c>
      <c r="G10" s="1">
        <f t="shared" si="0"/>
        <v>13289.4</v>
      </c>
      <c r="H10" s="9">
        <v>1.25</v>
      </c>
      <c r="I10" s="1">
        <v>892</v>
      </c>
      <c r="J10" s="1">
        <f t="shared" si="1"/>
        <v>3212</v>
      </c>
      <c r="K10" s="2">
        <v>2</v>
      </c>
      <c r="L10" s="23">
        <f>E10-评价标准!M10</f>
        <v>-0.081</v>
      </c>
      <c r="M10" s="23">
        <f>N10-评价标准!N10</f>
        <v>-0.0847413793103449</v>
      </c>
      <c r="N10" s="24">
        <f t="shared" si="2"/>
        <v>1.24525862068966</v>
      </c>
    </row>
    <row r="11" ht="13.85" spans="1:14">
      <c r="A11" s="2">
        <v>5</v>
      </c>
      <c r="B11" s="2">
        <v>16675</v>
      </c>
      <c r="C11" s="1">
        <v>99.3</v>
      </c>
      <c r="D11" s="1">
        <v>4.78</v>
      </c>
      <c r="E11" s="9">
        <v>0.107</v>
      </c>
      <c r="F11" s="1">
        <v>164</v>
      </c>
      <c r="G11" s="1">
        <f t="shared" si="0"/>
        <v>16285.2</v>
      </c>
      <c r="H11" s="9">
        <v>1.22</v>
      </c>
      <c r="I11" s="1">
        <v>1185</v>
      </c>
      <c r="J11" s="1">
        <f t="shared" si="1"/>
        <v>4397</v>
      </c>
      <c r="K11" s="2">
        <v>4</v>
      </c>
      <c r="L11" s="23">
        <f>E11-评价标准!M11</f>
        <v>-0.053</v>
      </c>
      <c r="M11" s="23">
        <f>N11-评价标准!N11</f>
        <v>-0.0745722154499076</v>
      </c>
      <c r="N11" s="24">
        <f t="shared" si="2"/>
        <v>1.22542778455009</v>
      </c>
    </row>
    <row r="12" ht="13.85" spans="1:14">
      <c r="A12" s="2">
        <v>6</v>
      </c>
      <c r="B12" s="2">
        <v>17702</v>
      </c>
      <c r="C12" s="1">
        <v>102.2</v>
      </c>
      <c r="D12" s="1">
        <v>5.32</v>
      </c>
      <c r="E12" s="9">
        <v>0.126</v>
      </c>
      <c r="F12" s="1">
        <v>183</v>
      </c>
      <c r="G12" s="1">
        <f t="shared" si="0"/>
        <v>18702.6</v>
      </c>
      <c r="H12" s="9">
        <v>1.13</v>
      </c>
      <c r="I12" s="1">
        <v>1246</v>
      </c>
      <c r="J12" s="1">
        <f t="shared" si="1"/>
        <v>5643</v>
      </c>
      <c r="K12" s="2">
        <v>4</v>
      </c>
      <c r="L12" s="23">
        <f>E12-评价标准!M12</f>
        <v>-0.014</v>
      </c>
      <c r="M12" s="23">
        <f>N12-评价标准!N12</f>
        <v>-0.101558470267482</v>
      </c>
      <c r="N12" s="24">
        <f t="shared" si="2"/>
        <v>1.14844152973252</v>
      </c>
    </row>
    <row r="13" ht="13.85" spans="1:14">
      <c r="A13" s="2">
        <v>7</v>
      </c>
      <c r="B13" s="2">
        <v>19265</v>
      </c>
      <c r="C13" s="1">
        <v>106.1</v>
      </c>
      <c r="D13" s="1">
        <v>5.88</v>
      </c>
      <c r="E13" s="9">
        <v>0.116</v>
      </c>
      <c r="F13" s="1">
        <v>204</v>
      </c>
      <c r="G13" s="1">
        <f t="shared" si="0"/>
        <v>21644.4</v>
      </c>
      <c r="H13" s="9">
        <v>1.16</v>
      </c>
      <c r="I13" s="1">
        <v>1475</v>
      </c>
      <c r="J13" s="1">
        <f t="shared" si="1"/>
        <v>7118</v>
      </c>
      <c r="K13" s="2">
        <v>3</v>
      </c>
      <c r="L13" s="23">
        <f>E13-评价标准!M13</f>
        <v>-0.014</v>
      </c>
      <c r="M13" s="23">
        <f>N13-评价标准!N13</f>
        <v>-0.0527063616823331</v>
      </c>
      <c r="N13" s="24">
        <f t="shared" si="2"/>
        <v>1.15729363831767</v>
      </c>
    </row>
    <row r="14" ht="13.85" spans="1:14">
      <c r="A14" s="2">
        <v>8</v>
      </c>
      <c r="B14" s="2">
        <v>19942</v>
      </c>
      <c r="C14" s="1">
        <v>111.2</v>
      </c>
      <c r="D14" s="1">
        <v>6.1</v>
      </c>
      <c r="E14" s="9">
        <v>0.093</v>
      </c>
      <c r="F14" s="1">
        <v>221</v>
      </c>
      <c r="G14" s="1">
        <f t="shared" si="0"/>
        <v>24575.2</v>
      </c>
      <c r="H14" s="9">
        <v>1.14</v>
      </c>
      <c r="I14" s="1">
        <v>1543</v>
      </c>
      <c r="J14" s="1">
        <f t="shared" si="1"/>
        <v>8661</v>
      </c>
      <c r="K14" s="2">
        <v>3</v>
      </c>
      <c r="L14" s="23">
        <f>E14-评价标准!M14</f>
        <v>-0.027</v>
      </c>
      <c r="M14" s="23">
        <f>N14-评价标准!N14</f>
        <v>-0.0545931511152997</v>
      </c>
      <c r="N14" s="24">
        <f t="shared" si="2"/>
        <v>1.1354068488847</v>
      </c>
    </row>
    <row r="15" ht="13.85" spans="1:14">
      <c r="A15" s="2">
        <v>9</v>
      </c>
      <c r="B15" s="2">
        <v>20064</v>
      </c>
      <c r="C15" s="1">
        <v>115</v>
      </c>
      <c r="D15" s="1">
        <v>6.1</v>
      </c>
      <c r="E15" s="9">
        <v>0.04</v>
      </c>
      <c r="F15" s="1">
        <v>233</v>
      </c>
      <c r="G15" s="1">
        <f t="shared" si="0"/>
        <v>26795</v>
      </c>
      <c r="H15" s="9">
        <v>1.09</v>
      </c>
      <c r="I15" s="1">
        <v>1597</v>
      </c>
      <c r="J15" s="1">
        <f t="shared" si="1"/>
        <v>10258</v>
      </c>
      <c r="K15" s="2">
        <v>2.5</v>
      </c>
      <c r="L15" s="23">
        <f>E15-评价标准!M15</f>
        <v>-0.07</v>
      </c>
      <c r="M15" s="23">
        <f>N15-评价标准!N15</f>
        <v>-0.0796731664442201</v>
      </c>
      <c r="N15" s="24">
        <f t="shared" si="2"/>
        <v>1.09032683355578</v>
      </c>
    </row>
    <row r="16" ht="13.85" spans="1:14">
      <c r="A16" s="2">
        <v>10</v>
      </c>
      <c r="B16" s="2">
        <v>20309</v>
      </c>
      <c r="C16" s="1">
        <v>120</v>
      </c>
      <c r="D16" s="1">
        <v>6.23</v>
      </c>
      <c r="E16" s="9">
        <v>0.087</v>
      </c>
      <c r="F16" s="1">
        <v>250</v>
      </c>
      <c r="G16" s="1">
        <f t="shared" si="0"/>
        <v>30000</v>
      </c>
      <c r="H16" s="9">
        <v>1.12</v>
      </c>
      <c r="I16" s="1">
        <v>1980</v>
      </c>
      <c r="J16" s="1">
        <f t="shared" si="1"/>
        <v>12238</v>
      </c>
      <c r="K16" s="2">
        <v>3</v>
      </c>
      <c r="L16" s="23">
        <f>E16-评价标准!M16</f>
        <v>-0.013</v>
      </c>
      <c r="M16" s="23">
        <f>N16-评价标准!N16</f>
        <v>-0.0303881321142003</v>
      </c>
      <c r="N16" s="24">
        <f t="shared" si="2"/>
        <v>1.1196118678858</v>
      </c>
    </row>
    <row r="17" ht="13.85" spans="1:14">
      <c r="A17" s="2">
        <v>11</v>
      </c>
      <c r="B17" s="2">
        <v>19925</v>
      </c>
      <c r="C17" s="1">
        <v>123.8</v>
      </c>
      <c r="D17" s="1">
        <v>6.33</v>
      </c>
      <c r="E17" s="9">
        <v>0.064</v>
      </c>
      <c r="F17" s="1">
        <v>264</v>
      </c>
      <c r="G17" s="1">
        <f t="shared" si="0"/>
        <v>32683.2</v>
      </c>
      <c r="H17" s="9">
        <v>1.08</v>
      </c>
      <c r="I17" s="1">
        <v>1715</v>
      </c>
      <c r="J17" s="1">
        <f t="shared" si="1"/>
        <v>13953</v>
      </c>
      <c r="K17" s="2">
        <v>3</v>
      </c>
      <c r="L17" s="23">
        <f>E17-评价标准!M17</f>
        <v>-0.026</v>
      </c>
      <c r="M17" s="23">
        <f>N17-评价标准!N17</f>
        <v>-0.0405599999999999</v>
      </c>
      <c r="N17" s="24">
        <f t="shared" si="2"/>
        <v>1.08944</v>
      </c>
    </row>
    <row r="18" ht="13.85" spans="1:14">
      <c r="A18" s="2">
        <v>12</v>
      </c>
      <c r="B18" s="2">
        <v>19948</v>
      </c>
      <c r="C18" s="1">
        <v>127.9</v>
      </c>
      <c r="D18" s="1">
        <v>6.4</v>
      </c>
      <c r="E18" s="9">
        <v>0.031</v>
      </c>
      <c r="F18" s="1">
        <v>277</v>
      </c>
      <c r="G18" s="1">
        <f t="shared" si="0"/>
        <v>35428.3</v>
      </c>
      <c r="H18" s="9">
        <v>1.08</v>
      </c>
      <c r="I18" s="1">
        <v>1841</v>
      </c>
      <c r="J18" s="1">
        <f t="shared" si="1"/>
        <v>15794</v>
      </c>
      <c r="K18" s="2">
        <v>3</v>
      </c>
      <c r="L18" s="23">
        <f>E18-评价标准!M18</f>
        <v>-0.049</v>
      </c>
      <c r="M18" s="23">
        <f>N18-评价标准!N18</f>
        <v>-0.0260088363440545</v>
      </c>
      <c r="N18" s="24">
        <f t="shared" si="2"/>
        <v>1.08399116365595</v>
      </c>
    </row>
    <row r="19" ht="13.85" spans="1:14">
      <c r="A19" s="2">
        <v>13</v>
      </c>
      <c r="B19" s="2">
        <v>19920</v>
      </c>
      <c r="C19" s="1">
        <v>132.4</v>
      </c>
      <c r="D19" s="1">
        <v>6.64</v>
      </c>
      <c r="E19" s="9">
        <v>0.009</v>
      </c>
      <c r="F19" s="1">
        <v>288</v>
      </c>
      <c r="G19" s="1">
        <f t="shared" si="0"/>
        <v>38131.2</v>
      </c>
      <c r="H19" s="9">
        <v>1.08</v>
      </c>
      <c r="I19" s="1">
        <v>1819</v>
      </c>
      <c r="J19" s="1">
        <f t="shared" si="1"/>
        <v>17613</v>
      </c>
      <c r="K19" s="2">
        <v>3</v>
      </c>
      <c r="L19" s="23">
        <f>E19-评价标准!M19</f>
        <v>-0.061</v>
      </c>
      <c r="M19" s="23">
        <f>N19-评价标准!N19</f>
        <v>-0.0137078832458797</v>
      </c>
      <c r="N19" s="24">
        <f t="shared" si="2"/>
        <v>1.07629211675412</v>
      </c>
    </row>
    <row r="20" ht="13.85" spans="1:14">
      <c r="A20" s="2">
        <v>14</v>
      </c>
      <c r="B20" s="2">
        <v>20892</v>
      </c>
      <c r="C20" s="1">
        <v>137.2</v>
      </c>
      <c r="D20" s="1">
        <v>6.61</v>
      </c>
      <c r="E20" s="9">
        <v>0.017</v>
      </c>
      <c r="F20" s="1">
        <v>293</v>
      </c>
      <c r="G20" s="1">
        <f t="shared" si="0"/>
        <v>40199.6</v>
      </c>
      <c r="H20" s="9">
        <v>1.05</v>
      </c>
      <c r="I20" s="1">
        <v>1813</v>
      </c>
      <c r="J20" s="1">
        <f t="shared" si="1"/>
        <v>19426</v>
      </c>
      <c r="K20" s="2">
        <v>3.5</v>
      </c>
      <c r="L20" s="23">
        <f>E20-评价标准!M20</f>
        <v>-0.033</v>
      </c>
      <c r="M20" s="23">
        <f>N20-评价标准!N20</f>
        <v>-0.0157557066129577</v>
      </c>
      <c r="N20" s="24">
        <f t="shared" si="2"/>
        <v>1.05424429338704</v>
      </c>
    </row>
    <row r="21" ht="13.85" spans="1:14">
      <c r="A21" s="2">
        <v>15</v>
      </c>
      <c r="B21" s="2">
        <v>18662</v>
      </c>
      <c r="C21" s="1">
        <v>141.7</v>
      </c>
      <c r="D21" s="1">
        <v>7.25</v>
      </c>
      <c r="E21" s="9">
        <v>0.017</v>
      </c>
      <c r="F21" s="2">
        <v>294</v>
      </c>
      <c r="G21" s="1">
        <f t="shared" si="0"/>
        <v>41659.8</v>
      </c>
      <c r="H21" s="9">
        <v>1.04</v>
      </c>
      <c r="I21" s="1">
        <v>1887</v>
      </c>
      <c r="J21" s="1">
        <f t="shared" si="1"/>
        <v>21313</v>
      </c>
      <c r="K21" s="2">
        <v>4</v>
      </c>
      <c r="L21" s="23">
        <f>E21-评价标准!M21</f>
        <v>-0.013</v>
      </c>
      <c r="M21" s="23">
        <f>N21-评价标准!N21</f>
        <v>-0.0136762554851293</v>
      </c>
      <c r="N21" s="24">
        <f t="shared" si="2"/>
        <v>1.03632374451487</v>
      </c>
    </row>
    <row r="22" ht="13.85" spans="1:14">
      <c r="A22" s="2">
        <v>16</v>
      </c>
      <c r="B22" s="2">
        <v>14936</v>
      </c>
      <c r="C22" s="1">
        <v>144.7</v>
      </c>
      <c r="D22" s="1">
        <v>7.46</v>
      </c>
      <c r="E22" s="9">
        <v>0.012</v>
      </c>
      <c r="F22" s="2">
        <v>296</v>
      </c>
      <c r="G22" s="1">
        <f t="shared" si="0"/>
        <v>42831.2</v>
      </c>
      <c r="H22" s="9">
        <v>1.03</v>
      </c>
      <c r="I22" s="1">
        <v>1306</v>
      </c>
      <c r="J22" s="1">
        <f t="shared" si="1"/>
        <v>22619</v>
      </c>
      <c r="K22" s="2">
        <v>3.5</v>
      </c>
      <c r="L22" s="23">
        <f>E22-评价标准!M22</f>
        <v>0.002</v>
      </c>
      <c r="M22" s="23">
        <f>N22-评价标准!N22</f>
        <v>0.00811823388494415</v>
      </c>
      <c r="N22" s="24">
        <f t="shared" si="2"/>
        <v>1.02811823388494</v>
      </c>
    </row>
    <row r="23" ht="13.85" spans="1:14">
      <c r="A23" s="2">
        <v>17</v>
      </c>
      <c r="B23" s="2">
        <v>5018</v>
      </c>
      <c r="C23" s="1">
        <v>146.1</v>
      </c>
      <c r="D23" s="1">
        <v>7.62</v>
      </c>
      <c r="E23" s="11">
        <v>0.005</v>
      </c>
      <c r="F23" s="2">
        <v>296</v>
      </c>
      <c r="G23" s="12">
        <f t="shared" si="0"/>
        <v>43245.6</v>
      </c>
      <c r="H23" s="9">
        <v>1.01</v>
      </c>
      <c r="I23" s="1">
        <v>381</v>
      </c>
      <c r="J23" s="1">
        <f t="shared" si="1"/>
        <v>23000</v>
      </c>
      <c r="K23" s="2"/>
      <c r="L23" s="23">
        <f>E23-评价标准!M23</f>
        <v>0</v>
      </c>
      <c r="M23" s="23">
        <f>N23-评价标准!N23</f>
        <v>0.00967519004837603</v>
      </c>
      <c r="N23" s="24">
        <f t="shared" si="2"/>
        <v>1.00967519004838</v>
      </c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6"/>
  <sheetViews>
    <sheetView workbookViewId="0">
      <selection activeCell="J5" sqref="J5:N5"/>
    </sheetView>
  </sheetViews>
  <sheetFormatPr defaultColWidth="9" defaultRowHeight="12.75"/>
  <cols>
    <col min="1" max="1" width="12.9026548672566" customWidth="1"/>
    <col min="5" max="5" width="12.7256637168142" customWidth="1"/>
    <col min="7" max="7" width="11.7256637168142" customWidth="1"/>
    <col min="8" max="8" width="12.8141592920354"/>
    <col min="12" max="12" width="14.9026548672566" customWidth="1"/>
    <col min="13" max="13" width="13.0884955752212" customWidth="1"/>
  </cols>
  <sheetData>
    <row r="2" ht="13.85" spans="1:8">
      <c r="A2" s="1" t="s">
        <v>183</v>
      </c>
      <c r="B2" s="1">
        <v>2607</v>
      </c>
      <c r="D2" s="2" t="s">
        <v>202</v>
      </c>
      <c r="E2" s="2">
        <v>2580</v>
      </c>
      <c r="G2" s="26" t="s">
        <v>184</v>
      </c>
      <c r="H2" s="3">
        <f>G23-E4</f>
        <v>38562.2633863965</v>
      </c>
    </row>
    <row r="3" ht="13.85" spans="1:10">
      <c r="A3" s="1" t="s">
        <v>185</v>
      </c>
      <c r="B3" s="1">
        <v>167</v>
      </c>
      <c r="D3" s="2" t="s">
        <v>203</v>
      </c>
      <c r="E3" s="2">
        <v>7.8</v>
      </c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>
        <f>43070*E3/69.1</f>
        <v>4861.73661360347</v>
      </c>
      <c r="F4" s="4"/>
      <c r="G4" s="4"/>
      <c r="H4" s="4"/>
      <c r="I4" s="4"/>
      <c r="J4" s="4"/>
    </row>
    <row r="5" ht="13.85" spans="1:14">
      <c r="A5" s="2" t="s">
        <v>187</v>
      </c>
      <c r="B5" s="6" t="s">
        <v>188</v>
      </c>
      <c r="C5" s="7" t="s">
        <v>189</v>
      </c>
      <c r="D5" s="7" t="s">
        <v>128</v>
      </c>
      <c r="E5" s="7" t="s">
        <v>190</v>
      </c>
      <c r="F5" s="7" t="s">
        <v>191</v>
      </c>
      <c r="G5" s="7" t="s">
        <v>145</v>
      </c>
      <c r="H5" s="7" t="s">
        <v>192</v>
      </c>
      <c r="I5" s="25" t="s">
        <v>193</v>
      </c>
      <c r="J5" s="14" t="s">
        <v>194</v>
      </c>
      <c r="K5" s="1" t="s">
        <v>195</v>
      </c>
      <c r="L5" s="22" t="s">
        <v>206</v>
      </c>
      <c r="M5" s="22" t="s">
        <v>207</v>
      </c>
      <c r="N5" s="22" t="s">
        <v>208</v>
      </c>
    </row>
    <row r="6" ht="13.85" spans="1:13">
      <c r="A6" s="2">
        <v>0</v>
      </c>
      <c r="B6" s="1">
        <v>9362</v>
      </c>
      <c r="C6" s="1">
        <v>88.7</v>
      </c>
      <c r="D6" s="1">
        <v>4.22</v>
      </c>
      <c r="E6" s="9">
        <v>0.2</v>
      </c>
      <c r="F6" s="1">
        <v>59</v>
      </c>
      <c r="G6" s="1">
        <f>F6*C6</f>
        <v>5233.3</v>
      </c>
      <c r="H6" s="1"/>
      <c r="I6" s="1"/>
      <c r="J6" s="1">
        <v>300</v>
      </c>
      <c r="K6" s="13"/>
      <c r="L6" s="23">
        <f>E6-评价标准!M6</f>
        <v>0</v>
      </c>
      <c r="M6" s="23"/>
    </row>
    <row r="7" ht="13.85" spans="1:14">
      <c r="A7" s="2">
        <v>1</v>
      </c>
      <c r="B7" s="1">
        <v>9198</v>
      </c>
      <c r="C7" s="1">
        <v>89.8</v>
      </c>
      <c r="D7" s="1">
        <v>4.6</v>
      </c>
      <c r="E7" s="9">
        <v>0.275</v>
      </c>
      <c r="F7" s="1">
        <v>69</v>
      </c>
      <c r="G7" s="1">
        <f t="shared" ref="G7:G23" si="0">F7*C7</f>
        <v>6196.2</v>
      </c>
      <c r="H7" s="9">
        <v>1.18</v>
      </c>
      <c r="I7" s="1">
        <v>611</v>
      </c>
      <c r="J7" s="1">
        <f>J6+I7</f>
        <v>911</v>
      </c>
      <c r="K7" s="2">
        <v>4</v>
      </c>
      <c r="L7" s="23">
        <f>E7-评价标准!M7</f>
        <v>0.025</v>
      </c>
      <c r="M7" s="23">
        <f>N7-评价标准!N7</f>
        <v>-0.0160051974853344</v>
      </c>
      <c r="N7" s="24">
        <f>G7/G6</f>
        <v>1.18399480251467</v>
      </c>
    </row>
    <row r="8" ht="13.85" spans="1:14">
      <c r="A8" s="2">
        <v>2</v>
      </c>
      <c r="B8" s="1">
        <v>10109</v>
      </c>
      <c r="C8" s="1">
        <v>92.8</v>
      </c>
      <c r="D8" s="1">
        <v>4.12</v>
      </c>
      <c r="E8" s="9">
        <v>0.26</v>
      </c>
      <c r="F8" s="1">
        <v>90</v>
      </c>
      <c r="G8" s="1">
        <f t="shared" si="0"/>
        <v>8352</v>
      </c>
      <c r="H8" s="9">
        <v>1.34</v>
      </c>
      <c r="I8" s="1">
        <v>626</v>
      </c>
      <c r="J8" s="1">
        <f t="shared" ref="J8:J23" si="1">J7+I8</f>
        <v>1537</v>
      </c>
      <c r="K8" s="2">
        <v>4</v>
      </c>
      <c r="L8" s="23">
        <f>E8-评价标准!M8</f>
        <v>0.03</v>
      </c>
      <c r="M8" s="23">
        <f>N8-评价标准!N8</f>
        <v>-0.0520770795003387</v>
      </c>
      <c r="N8" s="24">
        <f t="shared" ref="N8:N23" si="2">G8/G7</f>
        <v>1.34792292049966</v>
      </c>
    </row>
    <row r="9" ht="13.85" spans="1:14">
      <c r="A9" s="2">
        <v>3</v>
      </c>
      <c r="B9" s="1">
        <v>12443</v>
      </c>
      <c r="C9" s="1">
        <v>93.3</v>
      </c>
      <c r="D9" s="1">
        <v>4.03</v>
      </c>
      <c r="E9" s="9">
        <v>0.135</v>
      </c>
      <c r="F9" s="1">
        <v>121</v>
      </c>
      <c r="G9" s="1">
        <f t="shared" si="0"/>
        <v>11289.3</v>
      </c>
      <c r="H9" s="9">
        <v>1.35</v>
      </c>
      <c r="I9" s="1">
        <v>576</v>
      </c>
      <c r="J9" s="1">
        <f t="shared" si="1"/>
        <v>2113</v>
      </c>
      <c r="K9" s="2">
        <v>2</v>
      </c>
      <c r="L9" s="23">
        <f>E9-评价标准!M9</f>
        <v>-0.065</v>
      </c>
      <c r="M9" s="23">
        <f>N9-评价标准!N9</f>
        <v>0.00168821839080446</v>
      </c>
      <c r="N9" s="24">
        <f t="shared" si="2"/>
        <v>1.3516882183908</v>
      </c>
    </row>
    <row r="10" ht="13.85" spans="1:14">
      <c r="A10" s="2">
        <v>4</v>
      </c>
      <c r="B10" s="1">
        <v>14895</v>
      </c>
      <c r="C10" s="1">
        <v>95.8</v>
      </c>
      <c r="D10" s="1">
        <v>4.27</v>
      </c>
      <c r="E10" s="9">
        <v>0.049</v>
      </c>
      <c r="F10" s="1">
        <v>143</v>
      </c>
      <c r="G10" s="1">
        <f t="shared" si="0"/>
        <v>13699.4</v>
      </c>
      <c r="H10" s="9">
        <v>1.21</v>
      </c>
      <c r="I10" s="1">
        <v>764</v>
      </c>
      <c r="J10" s="1">
        <f t="shared" si="1"/>
        <v>2877</v>
      </c>
      <c r="K10" s="2">
        <v>3</v>
      </c>
      <c r="L10" s="23">
        <f>E10-评价标准!M10</f>
        <v>-0.131</v>
      </c>
      <c r="M10" s="23">
        <f>N10-评价标准!N10</f>
        <v>-0.116514664328169</v>
      </c>
      <c r="N10" s="24">
        <f t="shared" si="2"/>
        <v>1.21348533567183</v>
      </c>
    </row>
    <row r="11" ht="13.85" spans="1:14">
      <c r="A11" s="2">
        <v>5</v>
      </c>
      <c r="B11" s="1">
        <v>16561</v>
      </c>
      <c r="C11" s="1">
        <v>97.8</v>
      </c>
      <c r="D11" s="1">
        <v>4.65</v>
      </c>
      <c r="E11" s="9">
        <v>0.072</v>
      </c>
      <c r="F11" s="1">
        <v>165</v>
      </c>
      <c r="G11" s="1">
        <f t="shared" si="0"/>
        <v>16137</v>
      </c>
      <c r="H11" s="9">
        <v>1.18</v>
      </c>
      <c r="I11" s="1">
        <v>1088</v>
      </c>
      <c r="J11" s="1">
        <f t="shared" si="1"/>
        <v>3965</v>
      </c>
      <c r="K11" s="2">
        <v>3</v>
      </c>
      <c r="L11" s="23">
        <f>E11-评价标准!M11</f>
        <v>-0.088</v>
      </c>
      <c r="M11" s="23">
        <f>N11-评价标准!N11</f>
        <v>-0.122065199935764</v>
      </c>
      <c r="N11" s="24">
        <f t="shared" si="2"/>
        <v>1.17793480006424</v>
      </c>
    </row>
    <row r="12" ht="13.85" spans="1:14">
      <c r="A12" s="2">
        <v>6</v>
      </c>
      <c r="B12" s="1">
        <v>17311</v>
      </c>
      <c r="C12" s="1">
        <v>101.8</v>
      </c>
      <c r="D12" s="1">
        <v>5.4</v>
      </c>
      <c r="E12" s="9">
        <v>0.11</v>
      </c>
      <c r="F12" s="1">
        <v>180</v>
      </c>
      <c r="G12" s="1">
        <f t="shared" si="0"/>
        <v>18324</v>
      </c>
      <c r="H12" s="9">
        <v>1.14</v>
      </c>
      <c r="I12" s="1">
        <v>1300</v>
      </c>
      <c r="J12" s="1">
        <f t="shared" si="1"/>
        <v>5265</v>
      </c>
      <c r="K12" s="2">
        <v>3.5</v>
      </c>
      <c r="L12" s="23">
        <f>E12-评价标准!M12</f>
        <v>-0.03</v>
      </c>
      <c r="M12" s="23">
        <f>N12-评价标准!N12</f>
        <v>-0.114472950362521</v>
      </c>
      <c r="N12" s="24">
        <f t="shared" si="2"/>
        <v>1.13552704963748</v>
      </c>
    </row>
    <row r="13" ht="13.85" spans="1:14">
      <c r="A13" s="2">
        <v>7</v>
      </c>
      <c r="B13" s="1">
        <v>19417</v>
      </c>
      <c r="C13" s="1">
        <v>104.4</v>
      </c>
      <c r="D13" s="1">
        <v>6</v>
      </c>
      <c r="E13" s="9">
        <v>0.098</v>
      </c>
      <c r="F13" s="1">
        <v>200</v>
      </c>
      <c r="G13" s="1">
        <f t="shared" si="0"/>
        <v>20880</v>
      </c>
      <c r="H13" s="9">
        <v>1.14</v>
      </c>
      <c r="I13" s="1">
        <v>1244</v>
      </c>
      <c r="J13" s="1">
        <f t="shared" si="1"/>
        <v>6509</v>
      </c>
      <c r="K13" s="2">
        <v>3</v>
      </c>
      <c r="L13" s="23">
        <f>E13-评价标准!M13</f>
        <v>-0.032</v>
      </c>
      <c r="M13" s="23">
        <f>N13-评价标准!N13</f>
        <v>-0.0705108055009822</v>
      </c>
      <c r="N13" s="24">
        <f t="shared" si="2"/>
        <v>1.13948919449902</v>
      </c>
    </row>
    <row r="14" ht="13.85" spans="1:14">
      <c r="A14" s="2">
        <v>8</v>
      </c>
      <c r="B14" s="1">
        <v>20116</v>
      </c>
      <c r="C14" s="1">
        <v>109.5</v>
      </c>
      <c r="D14" s="1">
        <v>5.24</v>
      </c>
      <c r="E14" s="9">
        <v>0.062</v>
      </c>
      <c r="F14" s="1">
        <v>212</v>
      </c>
      <c r="G14" s="1">
        <f t="shared" si="0"/>
        <v>23214</v>
      </c>
      <c r="H14" s="9">
        <v>1.11</v>
      </c>
      <c r="I14" s="1">
        <v>1427</v>
      </c>
      <c r="J14" s="1">
        <f t="shared" si="1"/>
        <v>7936</v>
      </c>
      <c r="K14" s="2">
        <v>3</v>
      </c>
      <c r="L14" s="23">
        <f>E14-评价标准!M14</f>
        <v>-0.058</v>
      </c>
      <c r="M14" s="23">
        <f>N14-评价标准!N14</f>
        <v>-0.0782183908045977</v>
      </c>
      <c r="N14" s="24">
        <f t="shared" si="2"/>
        <v>1.1117816091954</v>
      </c>
    </row>
    <row r="15" ht="13.85" spans="1:14">
      <c r="A15" s="2">
        <v>9</v>
      </c>
      <c r="B15" s="1">
        <v>20013</v>
      </c>
      <c r="C15" s="1">
        <v>114.2</v>
      </c>
      <c r="D15" s="1">
        <v>6.2</v>
      </c>
      <c r="E15" s="9">
        <v>0.072</v>
      </c>
      <c r="F15" s="1">
        <v>231</v>
      </c>
      <c r="G15" s="1">
        <f t="shared" si="0"/>
        <v>26380.2</v>
      </c>
      <c r="H15" s="9">
        <v>1.14</v>
      </c>
      <c r="I15" s="1">
        <v>1610</v>
      </c>
      <c r="J15" s="1">
        <f t="shared" si="1"/>
        <v>9546</v>
      </c>
      <c r="K15" s="2">
        <v>3.5</v>
      </c>
      <c r="L15" s="23">
        <f>E15-评价标准!M15</f>
        <v>-0.038</v>
      </c>
      <c r="M15" s="23">
        <f>N15-评价标准!N15</f>
        <v>-0.0336081674851383</v>
      </c>
      <c r="N15" s="24">
        <f t="shared" si="2"/>
        <v>1.13639183251486</v>
      </c>
    </row>
    <row r="16" ht="13.85" spans="1:14">
      <c r="A16" s="2">
        <v>10</v>
      </c>
      <c r="B16" s="1">
        <v>20092</v>
      </c>
      <c r="C16" s="1">
        <v>118.1</v>
      </c>
      <c r="D16" s="1">
        <v>6.25</v>
      </c>
      <c r="E16" s="9">
        <v>0.055</v>
      </c>
      <c r="F16" s="1">
        <v>250</v>
      </c>
      <c r="G16" s="1">
        <f t="shared" si="0"/>
        <v>29525</v>
      </c>
      <c r="H16" s="9">
        <v>1.12</v>
      </c>
      <c r="I16" s="1">
        <v>1715</v>
      </c>
      <c r="J16" s="1">
        <f t="shared" si="1"/>
        <v>11261</v>
      </c>
      <c r="K16" s="2">
        <v>4</v>
      </c>
      <c r="L16" s="23">
        <f>E16-评价标准!M16</f>
        <v>-0.045</v>
      </c>
      <c r="M16" s="23">
        <f>N16-评价标准!N16</f>
        <v>-0.0307893799137231</v>
      </c>
      <c r="N16" s="24">
        <f t="shared" si="2"/>
        <v>1.11921062008628</v>
      </c>
    </row>
    <row r="17" ht="13.85" spans="1:14">
      <c r="A17" s="2">
        <v>11</v>
      </c>
      <c r="B17" s="1">
        <v>20067</v>
      </c>
      <c r="C17" s="1">
        <v>122.3</v>
      </c>
      <c r="D17" s="1">
        <v>6.42</v>
      </c>
      <c r="E17" s="9">
        <v>0.072</v>
      </c>
      <c r="F17" s="1">
        <v>266</v>
      </c>
      <c r="G17" s="1">
        <f t="shared" si="0"/>
        <v>32531.8</v>
      </c>
      <c r="H17" s="9">
        <v>1.1</v>
      </c>
      <c r="I17" s="1">
        <v>1915</v>
      </c>
      <c r="J17" s="1">
        <f t="shared" si="1"/>
        <v>13176</v>
      </c>
      <c r="K17" s="2">
        <v>3</v>
      </c>
      <c r="L17" s="23">
        <f>E17-评价标准!M17</f>
        <v>-0.018</v>
      </c>
      <c r="M17" s="23">
        <f>N17-评价标准!N17</f>
        <v>-0.0281608806096527</v>
      </c>
      <c r="N17" s="24">
        <f t="shared" si="2"/>
        <v>1.10183911939035</v>
      </c>
    </row>
    <row r="18" ht="13.85" spans="1:14">
      <c r="A18" s="2">
        <v>12</v>
      </c>
      <c r="B18" s="1">
        <v>19846</v>
      </c>
      <c r="C18" s="1">
        <v>127</v>
      </c>
      <c r="D18" s="1">
        <v>6.49</v>
      </c>
      <c r="E18" s="9">
        <v>0.03</v>
      </c>
      <c r="F18" s="1">
        <v>276</v>
      </c>
      <c r="G18" s="1">
        <f t="shared" si="0"/>
        <v>35052</v>
      </c>
      <c r="H18" s="9">
        <v>1.08</v>
      </c>
      <c r="I18" s="1">
        <v>1746</v>
      </c>
      <c r="J18" s="1">
        <f t="shared" si="1"/>
        <v>14922</v>
      </c>
      <c r="K18" s="2">
        <v>3</v>
      </c>
      <c r="L18" s="23">
        <f>E18-评价标准!M18</f>
        <v>-0.05</v>
      </c>
      <c r="M18" s="23">
        <f>N18-评价标准!N18</f>
        <v>-0.0325311848714183</v>
      </c>
      <c r="N18" s="24">
        <f t="shared" si="2"/>
        <v>1.07746881512858</v>
      </c>
    </row>
    <row r="19" ht="13.85" spans="1:14">
      <c r="A19" s="2">
        <v>13</v>
      </c>
      <c r="B19" s="1">
        <v>20064</v>
      </c>
      <c r="C19" s="1">
        <v>133.3</v>
      </c>
      <c r="D19" s="1">
        <v>6.21</v>
      </c>
      <c r="E19" s="9">
        <v>0.051</v>
      </c>
      <c r="F19" s="1">
        <v>286</v>
      </c>
      <c r="G19" s="1">
        <f t="shared" si="0"/>
        <v>38123.8</v>
      </c>
      <c r="H19" s="9">
        <v>1.07</v>
      </c>
      <c r="I19" s="1">
        <v>1846</v>
      </c>
      <c r="J19" s="1">
        <f t="shared" si="1"/>
        <v>16768</v>
      </c>
      <c r="K19" s="2">
        <v>3</v>
      </c>
      <c r="L19" s="23">
        <f>E19-评价标准!M19</f>
        <v>-0.019</v>
      </c>
      <c r="M19" s="23">
        <f>N19-评价标准!N19</f>
        <v>-0.00236448704781478</v>
      </c>
      <c r="N19" s="24">
        <f t="shared" si="2"/>
        <v>1.08763551295219</v>
      </c>
    </row>
    <row r="20" ht="13.85" spans="1:14">
      <c r="A20" s="2">
        <v>14</v>
      </c>
      <c r="B20" s="1">
        <v>19142</v>
      </c>
      <c r="C20" s="1">
        <v>135.5</v>
      </c>
      <c r="D20" s="1">
        <v>6.46</v>
      </c>
      <c r="E20" s="9">
        <v>0.061</v>
      </c>
      <c r="F20" s="1">
        <v>293</v>
      </c>
      <c r="G20" s="1">
        <f t="shared" si="0"/>
        <v>39701.5</v>
      </c>
      <c r="H20" s="9">
        <v>1.06</v>
      </c>
      <c r="I20" s="1">
        <v>1809</v>
      </c>
      <c r="J20" s="1">
        <f t="shared" si="1"/>
        <v>18577</v>
      </c>
      <c r="K20" s="2">
        <v>4</v>
      </c>
      <c r="L20" s="23">
        <f>E20-评价标准!M20</f>
        <v>0.011</v>
      </c>
      <c r="M20" s="23">
        <f>N20-评价标准!N20</f>
        <v>-0.0286164023523365</v>
      </c>
      <c r="N20" s="24">
        <f t="shared" si="2"/>
        <v>1.04138359764766</v>
      </c>
    </row>
    <row r="21" ht="13.85" spans="1:14">
      <c r="A21" s="2">
        <v>15</v>
      </c>
      <c r="B21" s="1">
        <v>18837</v>
      </c>
      <c r="C21" s="1">
        <v>139.8</v>
      </c>
      <c r="D21" s="1">
        <v>6.81</v>
      </c>
      <c r="E21" s="9">
        <v>0.019</v>
      </c>
      <c r="F21" s="1">
        <v>294</v>
      </c>
      <c r="G21" s="1">
        <f t="shared" si="0"/>
        <v>41101.2</v>
      </c>
      <c r="H21" s="9">
        <v>1.04</v>
      </c>
      <c r="I21" s="1">
        <v>1761</v>
      </c>
      <c r="J21" s="1">
        <f t="shared" si="1"/>
        <v>20338</v>
      </c>
      <c r="K21" s="2">
        <v>3</v>
      </c>
      <c r="L21" s="23">
        <f>E21-评价标准!M21</f>
        <v>-0.011</v>
      </c>
      <c r="M21" s="23">
        <f>N21-评价标准!N21</f>
        <v>-0.0147444051232322</v>
      </c>
      <c r="N21" s="24">
        <f t="shared" si="2"/>
        <v>1.03525559487677</v>
      </c>
    </row>
    <row r="22" ht="13.85" spans="1:14">
      <c r="A22" s="2">
        <v>16</v>
      </c>
      <c r="B22" s="1">
        <v>17578</v>
      </c>
      <c r="C22" s="1">
        <v>142</v>
      </c>
      <c r="D22" s="1">
        <v>6.94</v>
      </c>
      <c r="E22" s="9">
        <v>0.015</v>
      </c>
      <c r="F22" s="1">
        <v>295</v>
      </c>
      <c r="G22" s="1">
        <f t="shared" si="0"/>
        <v>41890</v>
      </c>
      <c r="H22" s="9">
        <v>1.04</v>
      </c>
      <c r="I22" s="1">
        <v>1888</v>
      </c>
      <c r="J22" s="1">
        <f t="shared" si="1"/>
        <v>22226</v>
      </c>
      <c r="K22" s="2">
        <v>3</v>
      </c>
      <c r="L22" s="23">
        <f>E22-评价标准!M22</f>
        <v>0.005</v>
      </c>
      <c r="M22" s="23">
        <f>N22-评价标准!N22</f>
        <v>-0.000808346228334145</v>
      </c>
      <c r="N22" s="24">
        <f t="shared" si="2"/>
        <v>1.01919165377167</v>
      </c>
    </row>
    <row r="23" ht="13.85" spans="1:14">
      <c r="A23" s="2">
        <v>17</v>
      </c>
      <c r="B23" s="1">
        <v>4961</v>
      </c>
      <c r="C23" s="1">
        <v>147.2</v>
      </c>
      <c r="D23" s="1">
        <v>7.61</v>
      </c>
      <c r="E23" s="11">
        <v>0.006</v>
      </c>
      <c r="F23" s="1">
        <v>295</v>
      </c>
      <c r="G23" s="12">
        <f t="shared" si="0"/>
        <v>43424</v>
      </c>
      <c r="H23" s="9">
        <v>1.02</v>
      </c>
      <c r="I23" s="1">
        <v>825</v>
      </c>
      <c r="J23" s="1">
        <f t="shared" si="1"/>
        <v>23051</v>
      </c>
      <c r="K23" s="2"/>
      <c r="L23" s="23">
        <f>E23-评价标准!M23</f>
        <v>0.001</v>
      </c>
      <c r="M23" s="23">
        <f>N23-评价标准!N23</f>
        <v>0.0366197183098591</v>
      </c>
      <c r="N23" s="24">
        <f t="shared" si="2"/>
        <v>1.03661971830986</v>
      </c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6"/>
  <sheetViews>
    <sheetView workbookViewId="0">
      <selection activeCell="J5" sqref="J5"/>
    </sheetView>
  </sheetViews>
  <sheetFormatPr defaultColWidth="9" defaultRowHeight="12.75"/>
  <cols>
    <col min="1" max="1" width="12.9026548672566" customWidth="1"/>
    <col min="5" max="5" width="11.9026548672566" customWidth="1"/>
    <col min="7" max="7" width="11.7256637168142" customWidth="1"/>
    <col min="8" max="8" width="11.6371681415929"/>
    <col min="12" max="12" width="13.9026548672566" customWidth="1"/>
    <col min="13" max="13" width="12.6371681415929" customWidth="1"/>
  </cols>
  <sheetData>
    <row r="2" ht="13.85" spans="1:8">
      <c r="A2" s="1" t="s">
        <v>183</v>
      </c>
      <c r="B2" s="1">
        <v>2608</v>
      </c>
      <c r="D2" s="2" t="s">
        <v>202</v>
      </c>
      <c r="E2" s="2">
        <v>2580</v>
      </c>
      <c r="G2" s="2" t="s">
        <v>184</v>
      </c>
      <c r="H2" s="3">
        <f>G23-E4</f>
        <v>39455.7232995658</v>
      </c>
    </row>
    <row r="3" ht="13.85" spans="1:10">
      <c r="A3" s="1" t="s">
        <v>185</v>
      </c>
      <c r="B3" s="1">
        <v>167</v>
      </c>
      <c r="D3" s="2" t="s">
        <v>203</v>
      </c>
      <c r="E3" s="2">
        <v>7.6</v>
      </c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>
        <f>43070*E3/69.1</f>
        <v>4737.07670043415</v>
      </c>
      <c r="F4" s="4"/>
      <c r="G4" s="4"/>
      <c r="H4" s="4"/>
      <c r="I4" s="4"/>
      <c r="J4" s="4"/>
    </row>
    <row r="5" ht="13.85" spans="1:14">
      <c r="A5" s="2" t="s">
        <v>187</v>
      </c>
      <c r="B5" s="6" t="s">
        <v>188</v>
      </c>
      <c r="C5" s="7" t="s">
        <v>189</v>
      </c>
      <c r="D5" s="7" t="s">
        <v>128</v>
      </c>
      <c r="E5" s="7" t="s">
        <v>190</v>
      </c>
      <c r="F5" s="7" t="s">
        <v>191</v>
      </c>
      <c r="G5" s="7" t="s">
        <v>145</v>
      </c>
      <c r="H5" s="7" t="s">
        <v>192</v>
      </c>
      <c r="I5" s="25" t="s">
        <v>193</v>
      </c>
      <c r="J5" s="14" t="s">
        <v>194</v>
      </c>
      <c r="K5" s="1" t="s">
        <v>195</v>
      </c>
      <c r="L5" s="22" t="s">
        <v>206</v>
      </c>
      <c r="M5" s="22" t="s">
        <v>207</v>
      </c>
      <c r="N5" s="22" t="s">
        <v>208</v>
      </c>
    </row>
    <row r="6" ht="13.85" spans="1:13">
      <c r="A6" s="2">
        <v>0</v>
      </c>
      <c r="B6" s="2">
        <v>9757</v>
      </c>
      <c r="C6" s="1">
        <v>89.9</v>
      </c>
      <c r="D6" s="1">
        <v>4.36</v>
      </c>
      <c r="E6" s="9">
        <v>0.191</v>
      </c>
      <c r="F6" s="1">
        <v>67</v>
      </c>
      <c r="G6" s="1">
        <f>F6*C6</f>
        <v>6023.3</v>
      </c>
      <c r="H6" s="1"/>
      <c r="I6" s="1"/>
      <c r="J6" s="1">
        <v>300</v>
      </c>
      <c r="K6" s="13"/>
      <c r="L6" s="23">
        <f>E6-评价标准!M6</f>
        <v>-0.00900000000000001</v>
      </c>
      <c r="M6" s="23"/>
    </row>
    <row r="7" ht="13.85" spans="1:14">
      <c r="A7" s="2">
        <v>1</v>
      </c>
      <c r="B7" s="2">
        <v>9209</v>
      </c>
      <c r="C7" s="1">
        <v>90.1</v>
      </c>
      <c r="D7" s="1">
        <v>4.13</v>
      </c>
      <c r="E7" s="9">
        <v>0.255</v>
      </c>
      <c r="F7" s="1">
        <v>74</v>
      </c>
      <c r="G7" s="1">
        <f t="shared" ref="G7:G23" si="0">F7*C7</f>
        <v>6667.4</v>
      </c>
      <c r="H7" s="9">
        <v>1.11</v>
      </c>
      <c r="I7" s="1">
        <v>469</v>
      </c>
      <c r="J7" s="1">
        <f>J6+I7</f>
        <v>769</v>
      </c>
      <c r="K7" s="2">
        <v>4</v>
      </c>
      <c r="L7" s="23">
        <f>E7-评价标准!M7</f>
        <v>0.005</v>
      </c>
      <c r="M7" s="23">
        <f>N7-评价标准!N7</f>
        <v>-0.0930652632277988</v>
      </c>
      <c r="N7" s="24">
        <f>G7/G6</f>
        <v>1.1069347367722</v>
      </c>
    </row>
    <row r="8" ht="13.85" spans="1:14">
      <c r="A8" s="2">
        <v>2</v>
      </c>
      <c r="B8" s="2">
        <v>9983</v>
      </c>
      <c r="C8" s="1">
        <v>91.5</v>
      </c>
      <c r="D8" s="1">
        <v>4.09</v>
      </c>
      <c r="E8" s="9">
        <v>0.178</v>
      </c>
      <c r="F8" s="1">
        <v>93</v>
      </c>
      <c r="G8" s="1">
        <f t="shared" si="0"/>
        <v>8509.5</v>
      </c>
      <c r="H8" s="9">
        <v>1.28</v>
      </c>
      <c r="I8" s="1">
        <v>521</v>
      </c>
      <c r="J8" s="1">
        <f t="shared" ref="J8:J23" si="1">J7+I8</f>
        <v>1290</v>
      </c>
      <c r="K8" s="2">
        <v>3.5</v>
      </c>
      <c r="L8" s="23">
        <f>E8-评价标准!M8</f>
        <v>-0.052</v>
      </c>
      <c r="M8" s="23">
        <f>N8-评价标准!N8</f>
        <v>-0.123715391306956</v>
      </c>
      <c r="N8" s="24">
        <f t="shared" ref="N8:N23" si="2">G8/G7</f>
        <v>1.27628460869304</v>
      </c>
    </row>
    <row r="9" ht="13.85" spans="1:14">
      <c r="A9" s="2">
        <v>3</v>
      </c>
      <c r="B9" s="2">
        <v>12254</v>
      </c>
      <c r="C9" s="1">
        <v>95</v>
      </c>
      <c r="D9" s="1">
        <v>4.37</v>
      </c>
      <c r="E9" s="9">
        <v>0.151</v>
      </c>
      <c r="F9" s="1">
        <v>125</v>
      </c>
      <c r="G9" s="1">
        <f t="shared" si="0"/>
        <v>11875</v>
      </c>
      <c r="H9" s="9">
        <v>1.4</v>
      </c>
      <c r="I9" s="1">
        <v>734</v>
      </c>
      <c r="J9" s="1">
        <f t="shared" si="1"/>
        <v>2024</v>
      </c>
      <c r="K9" s="2">
        <v>4</v>
      </c>
      <c r="L9" s="23">
        <f>E9-评价标准!M9</f>
        <v>-0.049</v>
      </c>
      <c r="M9" s="23">
        <f>N9-评价标准!N9</f>
        <v>0.0454991480110465</v>
      </c>
      <c r="N9" s="24">
        <f t="shared" si="2"/>
        <v>1.39549914801105</v>
      </c>
    </row>
    <row r="10" ht="13.85" spans="1:14">
      <c r="A10" s="2">
        <v>4</v>
      </c>
      <c r="B10" s="2">
        <v>14340</v>
      </c>
      <c r="C10" s="1">
        <v>96.6</v>
      </c>
      <c r="D10" s="1">
        <v>4.61</v>
      </c>
      <c r="E10" s="9">
        <v>0.127</v>
      </c>
      <c r="F10" s="1">
        <v>148</v>
      </c>
      <c r="G10" s="1">
        <f t="shared" si="0"/>
        <v>14296.8</v>
      </c>
      <c r="H10" s="9">
        <v>1.2</v>
      </c>
      <c r="I10" s="1">
        <v>946</v>
      </c>
      <c r="J10" s="1">
        <f t="shared" si="1"/>
        <v>2970</v>
      </c>
      <c r="K10" s="2">
        <v>3.5</v>
      </c>
      <c r="L10" s="23">
        <f>E10-评价标准!M10</f>
        <v>-0.053</v>
      </c>
      <c r="M10" s="23">
        <f>N10-评价标准!N10</f>
        <v>-0.126058947368421</v>
      </c>
      <c r="N10" s="24">
        <f t="shared" si="2"/>
        <v>1.20394105263158</v>
      </c>
    </row>
    <row r="11" ht="13.85" spans="1:14">
      <c r="A11" s="2">
        <v>5</v>
      </c>
      <c r="B11" s="2">
        <v>16504</v>
      </c>
      <c r="C11" s="1">
        <v>100.5</v>
      </c>
      <c r="D11" s="1">
        <v>4.96</v>
      </c>
      <c r="E11" s="9">
        <v>0.145</v>
      </c>
      <c r="F11" s="1">
        <v>161</v>
      </c>
      <c r="G11" s="1">
        <f t="shared" si="0"/>
        <v>16180.5</v>
      </c>
      <c r="H11" s="9">
        <v>1.13</v>
      </c>
      <c r="I11" s="1">
        <v>1227</v>
      </c>
      <c r="J11" s="1">
        <f t="shared" si="1"/>
        <v>4197</v>
      </c>
      <c r="K11" s="2">
        <v>3</v>
      </c>
      <c r="L11" s="23">
        <f>E11-评价标准!M11</f>
        <v>-0.015</v>
      </c>
      <c r="M11" s="23">
        <f>N11-评价标准!N11</f>
        <v>-0.168243243243243</v>
      </c>
      <c r="N11" s="24">
        <f t="shared" si="2"/>
        <v>1.13175675675676</v>
      </c>
    </row>
    <row r="12" ht="13.85" spans="1:14">
      <c r="A12" s="2">
        <v>6</v>
      </c>
      <c r="B12" s="2">
        <v>16551</v>
      </c>
      <c r="C12" s="1">
        <v>103.3</v>
      </c>
      <c r="D12" s="1">
        <v>5.39</v>
      </c>
      <c r="E12" s="9">
        <v>0.127</v>
      </c>
      <c r="F12" s="1">
        <v>180</v>
      </c>
      <c r="G12" s="1">
        <f t="shared" si="0"/>
        <v>18594</v>
      </c>
      <c r="H12" s="9">
        <v>1.15</v>
      </c>
      <c r="I12" s="1">
        <v>1121</v>
      </c>
      <c r="J12" s="1">
        <f t="shared" si="1"/>
        <v>5318</v>
      </c>
      <c r="K12" s="2">
        <v>3.5</v>
      </c>
      <c r="L12" s="23">
        <f>E12-评价标准!M12</f>
        <v>-0.013</v>
      </c>
      <c r="M12" s="23">
        <f>N12-评价标准!N12</f>
        <v>-0.100838972837675</v>
      </c>
      <c r="N12" s="24">
        <f t="shared" si="2"/>
        <v>1.14916102716232</v>
      </c>
    </row>
    <row r="13" ht="13.85" spans="1:14">
      <c r="A13" s="2">
        <v>7</v>
      </c>
      <c r="B13" s="2">
        <v>19050</v>
      </c>
      <c r="C13" s="1">
        <v>107.7</v>
      </c>
      <c r="D13" s="1">
        <v>5.83</v>
      </c>
      <c r="E13" s="9">
        <v>0.141</v>
      </c>
      <c r="F13" s="1">
        <v>200</v>
      </c>
      <c r="G13" s="1">
        <f t="shared" si="0"/>
        <v>21540</v>
      </c>
      <c r="H13" s="9">
        <v>1.16</v>
      </c>
      <c r="I13" s="1">
        <v>1306</v>
      </c>
      <c r="J13" s="1">
        <f t="shared" si="1"/>
        <v>6624</v>
      </c>
      <c r="K13" s="2">
        <v>3</v>
      </c>
      <c r="L13" s="23">
        <f>E13-评价标准!M13</f>
        <v>0.011</v>
      </c>
      <c r="M13" s="23">
        <f>N13-评价标准!N13</f>
        <v>-0.0515617941271378</v>
      </c>
      <c r="N13" s="24">
        <f t="shared" si="2"/>
        <v>1.15843820587286</v>
      </c>
    </row>
    <row r="14" ht="13.85" spans="1:14">
      <c r="A14" s="2">
        <v>8</v>
      </c>
      <c r="B14" s="2">
        <v>19937</v>
      </c>
      <c r="C14" s="1">
        <v>112.2</v>
      </c>
      <c r="D14" s="1">
        <v>6.07</v>
      </c>
      <c r="E14" s="9">
        <v>0.114</v>
      </c>
      <c r="F14" s="1">
        <v>215</v>
      </c>
      <c r="G14" s="1">
        <f t="shared" si="0"/>
        <v>24123</v>
      </c>
      <c r="H14" s="9">
        <v>1.12</v>
      </c>
      <c r="I14" s="1">
        <v>1478</v>
      </c>
      <c r="J14" s="1">
        <f t="shared" si="1"/>
        <v>8102</v>
      </c>
      <c r="K14" s="2">
        <v>3</v>
      </c>
      <c r="L14" s="23">
        <f>E14-评价标准!M14</f>
        <v>-0.00599999999999999</v>
      </c>
      <c r="M14" s="23">
        <f>N14-评价标准!N14</f>
        <v>-0.0700835654596099</v>
      </c>
      <c r="N14" s="24">
        <f t="shared" si="2"/>
        <v>1.11991643454039</v>
      </c>
    </row>
    <row r="15" ht="13.85" spans="1:14">
      <c r="A15" s="2">
        <v>9</v>
      </c>
      <c r="B15" s="2">
        <v>19993</v>
      </c>
      <c r="C15" s="1">
        <v>116.4</v>
      </c>
      <c r="D15" s="1">
        <v>6.14</v>
      </c>
      <c r="E15" s="9">
        <v>0.103</v>
      </c>
      <c r="F15" s="1">
        <v>230</v>
      </c>
      <c r="G15" s="1">
        <f t="shared" si="0"/>
        <v>26772</v>
      </c>
      <c r="H15" s="9">
        <v>1.11</v>
      </c>
      <c r="I15" s="1">
        <v>1691</v>
      </c>
      <c r="J15" s="1">
        <f t="shared" si="1"/>
        <v>9793</v>
      </c>
      <c r="K15" s="2">
        <v>3.5</v>
      </c>
      <c r="L15" s="23">
        <f>E15-评价标准!M15</f>
        <v>-0.00700000000000001</v>
      </c>
      <c r="M15" s="23">
        <f>N15-评价标准!N15</f>
        <v>-0.0601877875886083</v>
      </c>
      <c r="N15" s="24">
        <f t="shared" si="2"/>
        <v>1.10981221241139</v>
      </c>
    </row>
    <row r="16" ht="13.85" spans="1:14">
      <c r="A16" s="2">
        <v>10</v>
      </c>
      <c r="B16" s="2">
        <v>19977</v>
      </c>
      <c r="C16" s="1">
        <v>121</v>
      </c>
      <c r="D16" s="1">
        <v>6.17</v>
      </c>
      <c r="E16" s="9">
        <v>0.108</v>
      </c>
      <c r="F16" s="1">
        <v>244</v>
      </c>
      <c r="G16" s="1">
        <f t="shared" si="0"/>
        <v>29524</v>
      </c>
      <c r="H16" s="9">
        <v>1.1</v>
      </c>
      <c r="I16" s="1">
        <v>1755</v>
      </c>
      <c r="J16" s="1">
        <f t="shared" si="1"/>
        <v>11548</v>
      </c>
      <c r="K16" s="2">
        <v>4</v>
      </c>
      <c r="L16" s="23">
        <f>E16-评价标准!M16</f>
        <v>0.00799999999999999</v>
      </c>
      <c r="M16" s="23">
        <f>N16-评价标准!N16</f>
        <v>-0.0472060361571791</v>
      </c>
      <c r="N16" s="24">
        <f t="shared" si="2"/>
        <v>1.10279396384282</v>
      </c>
    </row>
    <row r="17" ht="13.85" spans="1:14">
      <c r="A17" s="2">
        <v>11</v>
      </c>
      <c r="B17" s="2">
        <v>19981</v>
      </c>
      <c r="C17" s="1">
        <v>124.8</v>
      </c>
      <c r="D17" s="1">
        <v>6.36</v>
      </c>
      <c r="E17" s="9">
        <v>0.096</v>
      </c>
      <c r="F17" s="1">
        <v>260</v>
      </c>
      <c r="G17" s="1">
        <f t="shared" si="0"/>
        <v>32448</v>
      </c>
      <c r="H17" s="9">
        <v>1.1</v>
      </c>
      <c r="I17" s="1">
        <v>1730</v>
      </c>
      <c r="J17" s="1">
        <f t="shared" si="1"/>
        <v>13278</v>
      </c>
      <c r="K17" s="2">
        <v>3.5</v>
      </c>
      <c r="L17" s="23">
        <f>E17-评价标准!M17</f>
        <v>0.00600000000000001</v>
      </c>
      <c r="M17" s="23">
        <f>N17-评价标准!N17</f>
        <v>-0.0309619292778756</v>
      </c>
      <c r="N17" s="24">
        <f t="shared" si="2"/>
        <v>1.09903807072212</v>
      </c>
    </row>
    <row r="18" ht="13.85" spans="1:14">
      <c r="A18" s="2">
        <v>12</v>
      </c>
      <c r="B18" s="2">
        <v>19842</v>
      </c>
      <c r="C18" s="1">
        <v>129.9</v>
      </c>
      <c r="D18" s="1">
        <v>6.47</v>
      </c>
      <c r="E18" s="9">
        <v>0.082</v>
      </c>
      <c r="F18" s="1">
        <v>274</v>
      </c>
      <c r="G18" s="1">
        <f t="shared" si="0"/>
        <v>35592.6</v>
      </c>
      <c r="H18" s="9">
        <v>1.1</v>
      </c>
      <c r="I18" s="1">
        <v>1962</v>
      </c>
      <c r="J18" s="1">
        <f t="shared" si="1"/>
        <v>15240</v>
      </c>
      <c r="K18" s="2">
        <v>4</v>
      </c>
      <c r="L18" s="23">
        <f>E18-评价标准!M18</f>
        <v>0.002</v>
      </c>
      <c r="M18" s="23">
        <f>N18-评价标准!N18</f>
        <v>-0.0130880177514794</v>
      </c>
      <c r="N18" s="24">
        <f t="shared" si="2"/>
        <v>1.09691198224852</v>
      </c>
    </row>
    <row r="19" ht="13.85" spans="1:14">
      <c r="A19" s="2">
        <v>13</v>
      </c>
      <c r="B19" s="2">
        <v>19969</v>
      </c>
      <c r="C19" s="1">
        <v>134.7</v>
      </c>
      <c r="D19" s="1">
        <v>6.52</v>
      </c>
      <c r="E19" s="9">
        <v>0.086</v>
      </c>
      <c r="F19" s="1">
        <v>283</v>
      </c>
      <c r="G19" s="1">
        <f t="shared" si="0"/>
        <v>38120.1</v>
      </c>
      <c r="H19" s="9">
        <v>1.07</v>
      </c>
      <c r="I19" s="1">
        <v>1815</v>
      </c>
      <c r="J19" s="1">
        <f t="shared" si="1"/>
        <v>17055</v>
      </c>
      <c r="K19" s="2">
        <v>4</v>
      </c>
      <c r="L19" s="23">
        <f>E19-评价标准!M19</f>
        <v>0.016</v>
      </c>
      <c r="M19" s="23">
        <f>N19-评价标准!N19</f>
        <v>-0.0189880480774094</v>
      </c>
      <c r="N19" s="24">
        <f t="shared" si="2"/>
        <v>1.07101195192259</v>
      </c>
    </row>
    <row r="20" ht="13.85" spans="1:14">
      <c r="A20" s="2">
        <v>14</v>
      </c>
      <c r="B20" s="2">
        <v>19906</v>
      </c>
      <c r="C20" s="1">
        <v>139.2</v>
      </c>
      <c r="D20" s="1">
        <v>6.59</v>
      </c>
      <c r="E20" s="9">
        <v>0.053</v>
      </c>
      <c r="F20" s="1">
        <v>294</v>
      </c>
      <c r="G20" s="1">
        <f t="shared" si="0"/>
        <v>40924.8</v>
      </c>
      <c r="H20" s="9">
        <v>1.07</v>
      </c>
      <c r="I20" s="1">
        <v>1880</v>
      </c>
      <c r="J20" s="1">
        <f t="shared" si="1"/>
        <v>18935</v>
      </c>
      <c r="K20" s="2">
        <v>3</v>
      </c>
      <c r="L20" s="23">
        <f>E20-评价标准!M20</f>
        <v>0.003</v>
      </c>
      <c r="M20" s="23">
        <f>N20-评价标准!N20</f>
        <v>0.00357535788206209</v>
      </c>
      <c r="N20" s="24">
        <f t="shared" si="2"/>
        <v>1.07357535788206</v>
      </c>
    </row>
    <row r="21" ht="13.85" spans="1:14">
      <c r="A21" s="2">
        <v>15</v>
      </c>
      <c r="B21" s="2">
        <v>18874</v>
      </c>
      <c r="C21" s="1">
        <v>144.8</v>
      </c>
      <c r="D21" s="1">
        <v>6.65</v>
      </c>
      <c r="E21" s="9">
        <v>0.048</v>
      </c>
      <c r="F21" s="1">
        <v>296</v>
      </c>
      <c r="G21" s="1">
        <f t="shared" si="0"/>
        <v>42860.8</v>
      </c>
      <c r="H21" s="9">
        <v>1.05</v>
      </c>
      <c r="I21" s="1">
        <v>2054</v>
      </c>
      <c r="J21" s="1">
        <f t="shared" si="1"/>
        <v>20989</v>
      </c>
      <c r="K21" s="2">
        <v>3</v>
      </c>
      <c r="L21" s="23">
        <f>E21-评价标准!M21</f>
        <v>0.018</v>
      </c>
      <c r="M21" s="23">
        <f>N21-评价标准!N21</f>
        <v>-0.00269372116662736</v>
      </c>
      <c r="N21" s="24">
        <f t="shared" si="2"/>
        <v>1.04730627883337</v>
      </c>
    </row>
    <row r="22" ht="13.85" spans="1:14">
      <c r="A22" s="2">
        <v>16</v>
      </c>
      <c r="B22" s="2">
        <v>15089</v>
      </c>
      <c r="C22" s="1">
        <v>148.3</v>
      </c>
      <c r="D22" s="1">
        <v>7.11</v>
      </c>
      <c r="E22" s="9">
        <v>0.028</v>
      </c>
      <c r="F22" s="1">
        <v>296</v>
      </c>
      <c r="G22" s="1">
        <f t="shared" si="0"/>
        <v>43896.8</v>
      </c>
      <c r="H22" s="9">
        <v>1.02</v>
      </c>
      <c r="I22" s="1">
        <v>1527</v>
      </c>
      <c r="J22" s="1">
        <f t="shared" si="1"/>
        <v>22516</v>
      </c>
      <c r="K22" s="2">
        <v>3</v>
      </c>
      <c r="L22" s="23">
        <f>E22-评价标准!M22</f>
        <v>0.018</v>
      </c>
      <c r="M22" s="23">
        <f>N22-评价标准!N22</f>
        <v>0.00417127071823198</v>
      </c>
      <c r="N22" s="24">
        <f t="shared" si="2"/>
        <v>1.02417127071823</v>
      </c>
    </row>
    <row r="23" ht="13.85" spans="1:14">
      <c r="A23" s="2">
        <v>17</v>
      </c>
      <c r="B23" s="2">
        <v>5001</v>
      </c>
      <c r="C23" s="1">
        <v>149.3</v>
      </c>
      <c r="D23" s="1">
        <v>7.75</v>
      </c>
      <c r="E23" s="11">
        <v>0.003</v>
      </c>
      <c r="F23" s="1">
        <v>296</v>
      </c>
      <c r="G23" s="12">
        <f t="shared" si="0"/>
        <v>44192.8</v>
      </c>
      <c r="H23" s="9">
        <v>1</v>
      </c>
      <c r="I23" s="1">
        <v>483</v>
      </c>
      <c r="J23" s="1">
        <f t="shared" si="1"/>
        <v>22999</v>
      </c>
      <c r="K23" s="2"/>
      <c r="L23" s="23">
        <f>E23-评价标准!M23</f>
        <v>-0.002</v>
      </c>
      <c r="M23" s="23">
        <f>N23-评价标准!N23</f>
        <v>0.00674308833445725</v>
      </c>
      <c r="N23" s="24">
        <f t="shared" si="2"/>
        <v>1.00674308833446</v>
      </c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6"/>
  <sheetViews>
    <sheetView workbookViewId="0">
      <selection activeCell="J5" sqref="J5:N5"/>
    </sheetView>
  </sheetViews>
  <sheetFormatPr defaultColWidth="9" defaultRowHeight="12.75"/>
  <cols>
    <col min="1" max="1" width="13.9026548672566" customWidth="1"/>
    <col min="5" max="5" width="13.5398230088496"/>
    <col min="7" max="7" width="12.2654867256637" customWidth="1"/>
    <col min="8" max="8" width="12.8141592920354"/>
    <col min="12" max="13" width="13" customWidth="1"/>
  </cols>
  <sheetData>
    <row r="2" ht="13.85" spans="1:8">
      <c r="A2" s="1" t="s">
        <v>183</v>
      </c>
      <c r="B2" s="1">
        <v>2614</v>
      </c>
      <c r="D2" s="2" t="s">
        <v>202</v>
      </c>
      <c r="E2" s="2">
        <v>2596</v>
      </c>
      <c r="G2" s="2" t="s">
        <v>184</v>
      </c>
      <c r="H2" s="3">
        <f>G23-E4</f>
        <v>38727.9548872181</v>
      </c>
    </row>
    <row r="3" ht="13.85" spans="1:10">
      <c r="A3" s="1" t="s">
        <v>185</v>
      </c>
      <c r="B3" s="1">
        <v>167</v>
      </c>
      <c r="D3" s="2" t="s">
        <v>203</v>
      </c>
      <c r="E3" s="2">
        <v>7.4</v>
      </c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>
        <f>42431*E3/66.5</f>
        <v>4721.64511278196</v>
      </c>
      <c r="F4" s="4"/>
      <c r="G4" s="4"/>
      <c r="H4" s="4"/>
      <c r="I4" s="4"/>
      <c r="J4" s="4"/>
    </row>
    <row r="5" ht="13.85" spans="1:14">
      <c r="A5" s="2" t="s">
        <v>187</v>
      </c>
      <c r="B5" s="6" t="s">
        <v>188</v>
      </c>
      <c r="C5" s="7" t="s">
        <v>189</v>
      </c>
      <c r="D5" s="7" t="s">
        <v>128</v>
      </c>
      <c r="E5" s="7" t="s">
        <v>190</v>
      </c>
      <c r="F5" s="7" t="s">
        <v>191</v>
      </c>
      <c r="G5" s="7" t="s">
        <v>145</v>
      </c>
      <c r="H5" s="7" t="s">
        <v>192</v>
      </c>
      <c r="I5" s="25" t="s">
        <v>193</v>
      </c>
      <c r="J5" s="14" t="s">
        <v>194</v>
      </c>
      <c r="K5" s="1" t="s">
        <v>195</v>
      </c>
      <c r="L5" s="22" t="s">
        <v>206</v>
      </c>
      <c r="M5" s="22" t="s">
        <v>207</v>
      </c>
      <c r="N5" s="22" t="s">
        <v>208</v>
      </c>
    </row>
    <row r="6" ht="13.85" spans="1:13">
      <c r="A6" s="2">
        <v>0</v>
      </c>
      <c r="B6" s="2">
        <v>9503</v>
      </c>
      <c r="C6" s="1">
        <v>90</v>
      </c>
      <c r="D6" s="1">
        <v>5.5</v>
      </c>
      <c r="E6" s="9">
        <v>0.151</v>
      </c>
      <c r="F6" s="1">
        <v>62</v>
      </c>
      <c r="G6" s="1">
        <f>F6*C6</f>
        <v>5580</v>
      </c>
      <c r="H6" s="1"/>
      <c r="J6" s="1">
        <v>300</v>
      </c>
      <c r="K6" s="13"/>
      <c r="L6" s="23">
        <f>E6-评价标准!M6</f>
        <v>-0.049</v>
      </c>
      <c r="M6" s="23"/>
    </row>
    <row r="7" ht="13.85" spans="1:14">
      <c r="A7" s="2">
        <v>1</v>
      </c>
      <c r="B7" s="2">
        <v>9170</v>
      </c>
      <c r="C7" s="1">
        <v>90.7</v>
      </c>
      <c r="D7" s="1">
        <v>4.53</v>
      </c>
      <c r="E7" s="9">
        <v>0.212</v>
      </c>
      <c r="F7" s="1">
        <v>69</v>
      </c>
      <c r="G7" s="1">
        <f t="shared" ref="G7:G23" si="0">F7*C7</f>
        <v>6258.3</v>
      </c>
      <c r="H7" s="9">
        <v>1.12</v>
      </c>
      <c r="I7" s="1">
        <v>526</v>
      </c>
      <c r="J7" s="1">
        <v>826</v>
      </c>
      <c r="K7" s="2">
        <v>4</v>
      </c>
      <c r="L7" s="23">
        <f>E7-评价标准!M7</f>
        <v>-0.038</v>
      </c>
      <c r="M7" s="23">
        <f>N7-评价标准!N7</f>
        <v>-0.0784408602150537</v>
      </c>
      <c r="N7" s="24">
        <f>G7/G6</f>
        <v>1.12155913978495</v>
      </c>
    </row>
    <row r="8" ht="13.85" spans="1:14">
      <c r="A8" s="2">
        <v>2</v>
      </c>
      <c r="B8" s="2">
        <v>10169</v>
      </c>
      <c r="C8" s="1">
        <v>92.8</v>
      </c>
      <c r="D8" s="1">
        <v>4.04</v>
      </c>
      <c r="E8" s="9">
        <v>0.191</v>
      </c>
      <c r="F8" s="1">
        <v>90</v>
      </c>
      <c r="G8" s="1">
        <f t="shared" si="0"/>
        <v>8352</v>
      </c>
      <c r="H8" s="9">
        <v>1.33</v>
      </c>
      <c r="I8" s="1">
        <v>521</v>
      </c>
      <c r="J8" s="1">
        <v>1347</v>
      </c>
      <c r="K8" s="2">
        <v>4</v>
      </c>
      <c r="L8" s="23">
        <f>E8-评价标准!M8</f>
        <v>-0.039</v>
      </c>
      <c r="M8" s="23">
        <f>N8-评价标准!N8</f>
        <v>-0.0654522793729926</v>
      </c>
      <c r="N8" s="24">
        <f t="shared" ref="N8:N23" si="1">G8/G7</f>
        <v>1.33454772062701</v>
      </c>
    </row>
    <row r="9" ht="13.85" spans="1:14">
      <c r="A9" s="2">
        <v>3</v>
      </c>
      <c r="B9" s="2">
        <v>12200</v>
      </c>
      <c r="C9" s="1">
        <v>94.4</v>
      </c>
      <c r="D9" s="1">
        <v>3.98</v>
      </c>
      <c r="E9" s="9">
        <v>0.134</v>
      </c>
      <c r="F9" s="1">
        <v>121</v>
      </c>
      <c r="G9" s="1">
        <f t="shared" si="0"/>
        <v>11422.4</v>
      </c>
      <c r="H9" s="9">
        <v>1.37</v>
      </c>
      <c r="I9" s="1">
        <v>588</v>
      </c>
      <c r="J9" s="1">
        <v>1935</v>
      </c>
      <c r="K9" s="2">
        <v>3</v>
      </c>
      <c r="L9" s="23">
        <f>E9-评价标准!M9</f>
        <v>-0.066</v>
      </c>
      <c r="M9" s="23">
        <f>N9-评价标准!N9</f>
        <v>0.017624521072797</v>
      </c>
      <c r="N9" s="24">
        <f t="shared" si="1"/>
        <v>1.3676245210728</v>
      </c>
    </row>
    <row r="10" ht="13.85" spans="1:14">
      <c r="A10" s="2">
        <v>4</v>
      </c>
      <c r="B10" s="2">
        <v>14408</v>
      </c>
      <c r="C10" s="1">
        <v>96.3</v>
      </c>
      <c r="D10" s="1">
        <v>4.22</v>
      </c>
      <c r="E10" s="9">
        <v>0.102</v>
      </c>
      <c r="F10" s="1">
        <v>142</v>
      </c>
      <c r="G10" s="1">
        <f t="shared" si="0"/>
        <v>13674.6</v>
      </c>
      <c r="H10" s="9">
        <v>1.2</v>
      </c>
      <c r="I10" s="1">
        <v>868</v>
      </c>
      <c r="J10" s="1">
        <v>2803</v>
      </c>
      <c r="K10" s="2">
        <v>3</v>
      </c>
      <c r="L10" s="23">
        <f>E10-评价标准!M10</f>
        <v>-0.078</v>
      </c>
      <c r="M10" s="23">
        <f>N10-评价标准!N10</f>
        <v>-0.132826026054069</v>
      </c>
      <c r="N10" s="24">
        <f t="shared" si="1"/>
        <v>1.19717397394593</v>
      </c>
    </row>
    <row r="11" ht="13.85" spans="1:14">
      <c r="A11" s="2">
        <v>5</v>
      </c>
      <c r="B11" s="2">
        <v>16328</v>
      </c>
      <c r="C11" s="1">
        <v>99.1</v>
      </c>
      <c r="D11" s="1">
        <v>4.62</v>
      </c>
      <c r="E11" s="9">
        <v>0.063</v>
      </c>
      <c r="F11" s="1">
        <v>169</v>
      </c>
      <c r="G11" s="1">
        <f t="shared" si="0"/>
        <v>16747.9</v>
      </c>
      <c r="H11" s="9">
        <v>1.22</v>
      </c>
      <c r="I11" s="1">
        <v>1201</v>
      </c>
      <c r="J11" s="1">
        <v>4004</v>
      </c>
      <c r="K11" s="2">
        <v>3.5</v>
      </c>
      <c r="L11" s="23">
        <f>E11-评价标准!M11</f>
        <v>-0.097</v>
      </c>
      <c r="M11" s="23">
        <f>N11-评价标准!N11</f>
        <v>-0.0752548520614864</v>
      </c>
      <c r="N11" s="24">
        <f t="shared" si="1"/>
        <v>1.22474514793851</v>
      </c>
    </row>
    <row r="12" ht="13.85" spans="1:14">
      <c r="A12" s="2">
        <v>6</v>
      </c>
      <c r="B12" s="2">
        <v>17298</v>
      </c>
      <c r="C12" s="1">
        <v>103.2</v>
      </c>
      <c r="D12" s="1">
        <v>5.24</v>
      </c>
      <c r="E12" s="9">
        <v>0.104</v>
      </c>
      <c r="F12" s="1">
        <v>183</v>
      </c>
      <c r="G12" s="1">
        <f t="shared" si="0"/>
        <v>18885.6</v>
      </c>
      <c r="H12" s="9">
        <v>1.13</v>
      </c>
      <c r="I12" s="1">
        <v>1475</v>
      </c>
      <c r="J12" s="1">
        <v>5479</v>
      </c>
      <c r="K12" s="2">
        <v>3.5</v>
      </c>
      <c r="L12" s="23">
        <f>E12-评价标准!M12</f>
        <v>-0.036</v>
      </c>
      <c r="M12" s="23">
        <f>N12-评价标准!N12</f>
        <v>-0.122360116790762</v>
      </c>
      <c r="N12" s="24">
        <f t="shared" si="1"/>
        <v>1.12763988320924</v>
      </c>
    </row>
    <row r="13" ht="13.85" spans="1:14">
      <c r="A13" s="2">
        <v>7</v>
      </c>
      <c r="B13" s="2">
        <v>19263</v>
      </c>
      <c r="C13" s="1">
        <v>106.9</v>
      </c>
      <c r="D13" s="1">
        <v>5.99</v>
      </c>
      <c r="E13" s="9">
        <v>0.15</v>
      </c>
      <c r="F13" s="1">
        <v>196</v>
      </c>
      <c r="G13" s="1">
        <f t="shared" si="0"/>
        <v>20952.4</v>
      </c>
      <c r="H13" s="9">
        <v>1.11</v>
      </c>
      <c r="I13" s="1">
        <v>1437</v>
      </c>
      <c r="J13" s="1">
        <v>6916</v>
      </c>
      <c r="K13" s="2">
        <v>3</v>
      </c>
      <c r="L13" s="23">
        <f>E13-评价标准!M13</f>
        <v>0.02</v>
      </c>
      <c r="M13" s="23">
        <f>N13-评价标准!N13</f>
        <v>-0.100562121404668</v>
      </c>
      <c r="N13" s="24">
        <f t="shared" si="1"/>
        <v>1.10943787859533</v>
      </c>
    </row>
    <row r="14" ht="13.85" spans="1:14">
      <c r="A14" s="2">
        <v>8</v>
      </c>
      <c r="B14" s="2">
        <v>19866</v>
      </c>
      <c r="C14" s="1">
        <v>112.4</v>
      </c>
      <c r="D14" s="1">
        <v>6.27</v>
      </c>
      <c r="E14" s="9">
        <v>0.116</v>
      </c>
      <c r="F14" s="1">
        <v>213</v>
      </c>
      <c r="G14" s="1">
        <f t="shared" si="0"/>
        <v>23941.2</v>
      </c>
      <c r="H14" s="9">
        <v>1.14</v>
      </c>
      <c r="I14" s="1">
        <v>1406</v>
      </c>
      <c r="J14" s="1">
        <v>8322</v>
      </c>
      <c r="K14" s="2">
        <v>3.5</v>
      </c>
      <c r="L14" s="23">
        <f>E14-评价标准!M14</f>
        <v>-0.00399999999999999</v>
      </c>
      <c r="M14" s="23">
        <f>N14-评价标准!N14</f>
        <v>-0.0473528569519481</v>
      </c>
      <c r="N14" s="24">
        <f t="shared" si="1"/>
        <v>1.14264714304805</v>
      </c>
    </row>
    <row r="15" ht="13.85" spans="1:14">
      <c r="A15" s="2">
        <v>9</v>
      </c>
      <c r="B15" s="2">
        <v>20040</v>
      </c>
      <c r="C15" s="1">
        <v>115.7</v>
      </c>
      <c r="D15" s="1">
        <v>6.26</v>
      </c>
      <c r="E15" s="9">
        <v>0.093</v>
      </c>
      <c r="F15" s="1">
        <v>224</v>
      </c>
      <c r="G15" s="1">
        <f t="shared" si="0"/>
        <v>25916.8</v>
      </c>
      <c r="H15" s="9">
        <v>1.08</v>
      </c>
      <c r="I15" s="1">
        <v>1561</v>
      </c>
      <c r="J15" s="1">
        <v>9883</v>
      </c>
      <c r="K15" s="2">
        <v>3.5</v>
      </c>
      <c r="L15" s="23">
        <f>E15-评价标准!M15</f>
        <v>-0.017</v>
      </c>
      <c r="M15" s="23">
        <f>N15-评价标准!N15</f>
        <v>-0.0874811621806759</v>
      </c>
      <c r="N15" s="24">
        <f t="shared" si="1"/>
        <v>1.08251883781932</v>
      </c>
    </row>
    <row r="16" ht="13.85" spans="1:14">
      <c r="A16" s="2">
        <v>10</v>
      </c>
      <c r="B16" s="2">
        <v>20132</v>
      </c>
      <c r="C16" s="1">
        <v>120</v>
      </c>
      <c r="D16" s="1">
        <v>6.26</v>
      </c>
      <c r="E16" s="9">
        <v>0.039</v>
      </c>
      <c r="F16" s="1">
        <v>240</v>
      </c>
      <c r="G16" s="1">
        <f t="shared" si="0"/>
        <v>28800</v>
      </c>
      <c r="H16" s="9">
        <v>1.11</v>
      </c>
      <c r="I16" s="1">
        <v>1772</v>
      </c>
      <c r="J16" s="1">
        <v>11655</v>
      </c>
      <c r="K16" s="2">
        <v>3</v>
      </c>
      <c r="L16" s="23">
        <f>E16-评价标准!M16</f>
        <v>-0.061</v>
      </c>
      <c r="M16" s="23">
        <f>N16-评价标准!N16</f>
        <v>-0.0387516977404616</v>
      </c>
      <c r="N16" s="24">
        <f t="shared" si="1"/>
        <v>1.11124830225954</v>
      </c>
    </row>
    <row r="17" ht="13.85" spans="1:14">
      <c r="A17" s="2">
        <v>11</v>
      </c>
      <c r="B17" s="2">
        <v>19944</v>
      </c>
      <c r="C17" s="1">
        <v>125.1</v>
      </c>
      <c r="D17" s="1">
        <v>6.33</v>
      </c>
      <c r="E17" s="9">
        <v>0.021</v>
      </c>
      <c r="F17" s="1">
        <v>258</v>
      </c>
      <c r="G17" s="1">
        <f t="shared" si="0"/>
        <v>32275.8</v>
      </c>
      <c r="H17" s="9">
        <v>1.12</v>
      </c>
      <c r="I17" s="1">
        <v>1981</v>
      </c>
      <c r="J17" s="1">
        <v>13634</v>
      </c>
      <c r="K17" s="2">
        <v>4</v>
      </c>
      <c r="L17" s="23">
        <f>E17-评价标准!M17</f>
        <v>-0.069</v>
      </c>
      <c r="M17" s="23">
        <f>N17-评价标准!N17</f>
        <v>-0.00931249999999983</v>
      </c>
      <c r="N17" s="24">
        <f t="shared" si="1"/>
        <v>1.1206875</v>
      </c>
    </row>
    <row r="18" ht="13.85" spans="1:14">
      <c r="A18" s="2">
        <v>12</v>
      </c>
      <c r="B18" s="2">
        <v>19962</v>
      </c>
      <c r="C18" s="1">
        <v>129.6</v>
      </c>
      <c r="D18" s="1">
        <v>6.49</v>
      </c>
      <c r="E18" s="9">
        <v>0.023</v>
      </c>
      <c r="F18" s="1">
        <v>271</v>
      </c>
      <c r="G18" s="1">
        <f t="shared" si="0"/>
        <v>35121.6</v>
      </c>
      <c r="H18" s="9">
        <v>1.09</v>
      </c>
      <c r="I18" s="1">
        <v>1973</v>
      </c>
      <c r="J18" s="1">
        <v>15541</v>
      </c>
      <c r="K18" s="2">
        <v>3</v>
      </c>
      <c r="L18" s="23">
        <f>E18-评价标准!M18</f>
        <v>-0.057</v>
      </c>
      <c r="M18" s="23">
        <f>N18-评价标准!N18</f>
        <v>-0.0218286765936089</v>
      </c>
      <c r="N18" s="24">
        <f t="shared" si="1"/>
        <v>1.08817132340639</v>
      </c>
    </row>
    <row r="19" ht="13.85" spans="1:14">
      <c r="A19" s="2">
        <v>13</v>
      </c>
      <c r="B19" s="2">
        <v>20054</v>
      </c>
      <c r="C19" s="1">
        <v>134.7</v>
      </c>
      <c r="D19" s="1">
        <v>6.56</v>
      </c>
      <c r="E19" s="9">
        <v>0.014</v>
      </c>
      <c r="F19" s="1">
        <v>279</v>
      </c>
      <c r="G19" s="1">
        <f t="shared" si="0"/>
        <v>37581.3</v>
      </c>
      <c r="H19" s="9">
        <v>1.07</v>
      </c>
      <c r="I19" s="1">
        <v>1814</v>
      </c>
      <c r="J19" s="1">
        <v>17514</v>
      </c>
      <c r="K19" s="2">
        <v>3</v>
      </c>
      <c r="L19" s="23">
        <f>E19-评价标准!M19</f>
        <v>-0.056</v>
      </c>
      <c r="M19" s="23">
        <f>N19-评价标准!N19</f>
        <v>-0.0199661746617468</v>
      </c>
      <c r="N19" s="24">
        <f t="shared" si="1"/>
        <v>1.07003382533825</v>
      </c>
    </row>
    <row r="20" ht="13.85" spans="1:14">
      <c r="A20" s="2">
        <v>14</v>
      </c>
      <c r="B20" s="2">
        <v>19976</v>
      </c>
      <c r="C20" s="1">
        <v>139.4</v>
      </c>
      <c r="D20" s="1">
        <v>6.86</v>
      </c>
      <c r="E20" s="9">
        <v>0.01</v>
      </c>
      <c r="F20" s="1">
        <v>288</v>
      </c>
      <c r="G20" s="1">
        <f t="shared" si="0"/>
        <v>40147.2</v>
      </c>
      <c r="H20" s="10">
        <v>1.07</v>
      </c>
      <c r="I20" s="1">
        <v>1807</v>
      </c>
      <c r="J20" s="1">
        <v>19321</v>
      </c>
      <c r="K20" s="2">
        <v>3</v>
      </c>
      <c r="L20" s="23">
        <f>E20-评价标准!M20</f>
        <v>-0.04</v>
      </c>
      <c r="M20" s="23">
        <f>N20-评价标准!N20</f>
        <v>-0.00172402231961089</v>
      </c>
      <c r="N20" s="24">
        <f t="shared" si="1"/>
        <v>1.06827597768039</v>
      </c>
    </row>
    <row r="21" ht="13.85" spans="1:14">
      <c r="A21" s="2">
        <v>15</v>
      </c>
      <c r="B21" s="2">
        <v>19236</v>
      </c>
      <c r="C21" s="1">
        <v>144.1</v>
      </c>
      <c r="D21" s="1">
        <v>7.03</v>
      </c>
      <c r="E21" s="9">
        <v>0.017</v>
      </c>
      <c r="F21" s="1">
        <v>292</v>
      </c>
      <c r="G21" s="1">
        <f t="shared" si="0"/>
        <v>42077.2</v>
      </c>
      <c r="H21" s="9">
        <v>1.05</v>
      </c>
      <c r="I21" s="1">
        <v>1834</v>
      </c>
      <c r="J21" s="1">
        <v>21155</v>
      </c>
      <c r="K21" s="2">
        <v>3</v>
      </c>
      <c r="L21" s="23">
        <f>E21-评价标准!M21</f>
        <v>-0.013</v>
      </c>
      <c r="M21" s="23">
        <f>N21-评价标准!N21</f>
        <v>-0.00192690897497227</v>
      </c>
      <c r="N21" s="24">
        <f t="shared" si="1"/>
        <v>1.04807309102503</v>
      </c>
    </row>
    <row r="22" ht="13.85" spans="1:14">
      <c r="A22" s="2">
        <v>16</v>
      </c>
      <c r="B22" s="2">
        <v>15046</v>
      </c>
      <c r="C22" s="1">
        <v>147</v>
      </c>
      <c r="D22" s="1">
        <v>7.22</v>
      </c>
      <c r="E22" s="9">
        <v>0.012</v>
      </c>
      <c r="F22" s="1">
        <v>292</v>
      </c>
      <c r="G22" s="1">
        <f t="shared" si="0"/>
        <v>42924</v>
      </c>
      <c r="H22" s="9">
        <v>1.02</v>
      </c>
      <c r="I22" s="1">
        <v>1387</v>
      </c>
      <c r="J22" s="1">
        <v>22542</v>
      </c>
      <c r="K22" s="2">
        <v>3</v>
      </c>
      <c r="L22" s="23">
        <f>E22-评价标准!M22</f>
        <v>0.002</v>
      </c>
      <c r="M22" s="23">
        <f>N22-评价标准!N22</f>
        <v>0.000124913254684333</v>
      </c>
      <c r="N22" s="24">
        <f t="shared" si="1"/>
        <v>1.02012491325468</v>
      </c>
    </row>
    <row r="23" ht="13.85" spans="1:14">
      <c r="A23" s="2">
        <v>17</v>
      </c>
      <c r="B23" s="2">
        <v>49992</v>
      </c>
      <c r="C23" s="1">
        <v>148.8</v>
      </c>
      <c r="D23" s="1">
        <v>7.36</v>
      </c>
      <c r="E23" s="11">
        <v>0.005</v>
      </c>
      <c r="F23" s="1">
        <v>292</v>
      </c>
      <c r="G23" s="12">
        <f t="shared" si="0"/>
        <v>43449.6</v>
      </c>
      <c r="H23" s="9">
        <v>1.1</v>
      </c>
      <c r="I23" s="1">
        <v>458</v>
      </c>
      <c r="J23" s="1">
        <v>23000</v>
      </c>
      <c r="K23" s="2"/>
      <c r="L23" s="23">
        <f>E23-评价标准!M23</f>
        <v>0</v>
      </c>
      <c r="M23" s="23">
        <f>N23-评价标准!N23</f>
        <v>0.0122448979591838</v>
      </c>
      <c r="N23" s="24">
        <f t="shared" si="1"/>
        <v>1.01224489795918</v>
      </c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6"/>
  <sheetViews>
    <sheetView workbookViewId="0">
      <selection activeCell="J5" sqref="J5:N5"/>
    </sheetView>
  </sheetViews>
  <sheetFormatPr defaultColWidth="9" defaultRowHeight="12.75"/>
  <cols>
    <col min="1" max="1" width="12.8141592920354" customWidth="1"/>
    <col min="5" max="5" width="13.5398230088496"/>
    <col min="7" max="7" width="12.0884955752212" customWidth="1"/>
    <col min="8" max="8" width="11.6371681415929"/>
    <col min="12" max="12" width="11.8141592920354" customWidth="1"/>
    <col min="13" max="13" width="10.4513274336283" customWidth="1"/>
  </cols>
  <sheetData>
    <row r="2" ht="13.85" spans="1:8">
      <c r="A2" s="1" t="s">
        <v>183</v>
      </c>
      <c r="B2" s="1">
        <v>2616</v>
      </c>
      <c r="D2" s="2" t="s">
        <v>202</v>
      </c>
      <c r="E2" s="2">
        <v>2596</v>
      </c>
      <c r="G2" s="2" t="s">
        <v>184</v>
      </c>
      <c r="H2" s="3">
        <f>G23-E4</f>
        <v>39090.1609022556</v>
      </c>
    </row>
    <row r="3" ht="13.85" spans="1:10">
      <c r="A3" s="1" t="s">
        <v>185</v>
      </c>
      <c r="B3" s="1">
        <v>167</v>
      </c>
      <c r="D3" s="2" t="s">
        <v>203</v>
      </c>
      <c r="E3" s="2">
        <v>7.3</v>
      </c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>
        <f>42431*E3/66.5</f>
        <v>4657.83909774436</v>
      </c>
      <c r="F4" s="4"/>
      <c r="G4" s="4"/>
      <c r="H4" s="4"/>
      <c r="I4" s="4"/>
      <c r="J4" s="4"/>
    </row>
    <row r="5" ht="13.85" spans="1:14">
      <c r="A5" s="2" t="s">
        <v>187</v>
      </c>
      <c r="B5" s="6" t="s">
        <v>188</v>
      </c>
      <c r="C5" s="7" t="s">
        <v>189</v>
      </c>
      <c r="D5" s="7" t="s">
        <v>128</v>
      </c>
      <c r="E5" s="7" t="s">
        <v>190</v>
      </c>
      <c r="F5" s="7" t="s">
        <v>191</v>
      </c>
      <c r="G5" s="7" t="s">
        <v>145</v>
      </c>
      <c r="H5" s="7" t="s">
        <v>192</v>
      </c>
      <c r="I5" s="25" t="s">
        <v>193</v>
      </c>
      <c r="J5" s="14" t="s">
        <v>194</v>
      </c>
      <c r="K5" s="1" t="s">
        <v>195</v>
      </c>
      <c r="L5" s="22" t="s">
        <v>206</v>
      </c>
      <c r="M5" s="22" t="s">
        <v>207</v>
      </c>
      <c r="N5" s="22" t="s">
        <v>208</v>
      </c>
    </row>
    <row r="6" ht="13.85" spans="1:13">
      <c r="A6" s="2">
        <v>0</v>
      </c>
      <c r="B6" s="2">
        <v>9567</v>
      </c>
      <c r="C6" s="1">
        <v>89.1</v>
      </c>
      <c r="D6" s="1">
        <v>5.65</v>
      </c>
      <c r="E6" s="9">
        <v>0.148</v>
      </c>
      <c r="F6" s="1">
        <v>59</v>
      </c>
      <c r="G6" s="1">
        <v>5257</v>
      </c>
      <c r="H6" s="1"/>
      <c r="J6" s="1">
        <v>300</v>
      </c>
      <c r="K6" s="13"/>
      <c r="L6" s="23">
        <f>E6-评价标准!M6</f>
        <v>-0.052</v>
      </c>
      <c r="M6" s="23"/>
    </row>
    <row r="7" ht="13.85" spans="1:14">
      <c r="A7" s="2">
        <v>1</v>
      </c>
      <c r="B7" s="2">
        <v>9115</v>
      </c>
      <c r="C7" s="1">
        <v>89.9</v>
      </c>
      <c r="D7" s="1">
        <v>4.85</v>
      </c>
      <c r="E7" s="9">
        <v>0.259</v>
      </c>
      <c r="F7" s="1">
        <v>73</v>
      </c>
      <c r="G7" s="1">
        <v>6562</v>
      </c>
      <c r="H7" s="9">
        <v>1.24</v>
      </c>
      <c r="I7" s="1">
        <v>563</v>
      </c>
      <c r="J7" s="1">
        <f>J6+I7</f>
        <v>863</v>
      </c>
      <c r="K7" s="2">
        <v>3.5</v>
      </c>
      <c r="L7" s="23">
        <f>E7-评价标准!M7</f>
        <v>0.00900000000000001</v>
      </c>
      <c r="M7" s="23">
        <f>N7-评价标准!N7</f>
        <v>0.0482404413163402</v>
      </c>
      <c r="N7" s="24">
        <f>G7/G6</f>
        <v>1.24824044131634</v>
      </c>
    </row>
    <row r="8" ht="13.85" spans="1:14">
      <c r="A8" s="2">
        <v>2</v>
      </c>
      <c r="B8" s="2">
        <v>10460</v>
      </c>
      <c r="C8" s="1">
        <v>92.4</v>
      </c>
      <c r="D8" s="1">
        <v>4.21</v>
      </c>
      <c r="E8" s="9">
        <v>0.243</v>
      </c>
      <c r="F8" s="1">
        <v>99</v>
      </c>
      <c r="G8" s="1">
        <v>9147</v>
      </c>
      <c r="H8" s="9">
        <v>1.39</v>
      </c>
      <c r="I8" s="1">
        <v>574</v>
      </c>
      <c r="J8" s="1">
        <f t="shared" ref="J8:J23" si="0">J7+I8</f>
        <v>1437</v>
      </c>
      <c r="K8" s="2">
        <v>4</v>
      </c>
      <c r="L8" s="23">
        <f>E8-评价标准!M8</f>
        <v>0.013</v>
      </c>
      <c r="M8" s="23">
        <f>N8-评价标准!N8</f>
        <v>-0.00606522401706777</v>
      </c>
      <c r="N8" s="24">
        <f t="shared" ref="N8:N23" si="1">G8/G7</f>
        <v>1.39393477598293</v>
      </c>
    </row>
    <row r="9" ht="13.85" spans="1:14">
      <c r="A9" s="2">
        <v>3</v>
      </c>
      <c r="B9" s="2">
        <v>12456</v>
      </c>
      <c r="C9" s="1">
        <v>93.4</v>
      </c>
      <c r="D9" s="1">
        <v>3.98</v>
      </c>
      <c r="E9" s="9">
        <v>0.195</v>
      </c>
      <c r="F9" s="1">
        <v>113</v>
      </c>
      <c r="G9" s="1">
        <v>10610</v>
      </c>
      <c r="H9" s="9">
        <v>1.16</v>
      </c>
      <c r="I9" s="1">
        <v>657</v>
      </c>
      <c r="J9" s="1">
        <f t="shared" si="0"/>
        <v>2094</v>
      </c>
      <c r="K9" s="2">
        <v>3.5</v>
      </c>
      <c r="L9" s="23">
        <f>E9-评价标准!M9</f>
        <v>-0.005</v>
      </c>
      <c r="M9" s="23">
        <f>N9-评价标准!N9</f>
        <v>-0.190056849240188</v>
      </c>
      <c r="N9" s="24">
        <f t="shared" si="1"/>
        <v>1.15994315075981</v>
      </c>
    </row>
    <row r="10" ht="13.85" spans="1:14">
      <c r="A10" s="2">
        <v>4</v>
      </c>
      <c r="B10" s="2">
        <v>14564</v>
      </c>
      <c r="C10" s="1">
        <v>95.9</v>
      </c>
      <c r="D10" s="1">
        <v>4.07</v>
      </c>
      <c r="E10" s="9">
        <v>0.125</v>
      </c>
      <c r="F10" s="1">
        <v>136</v>
      </c>
      <c r="G10" s="1">
        <v>13042</v>
      </c>
      <c r="H10" s="9">
        <v>1.23</v>
      </c>
      <c r="I10" s="1">
        <v>877</v>
      </c>
      <c r="J10" s="1">
        <f t="shared" si="0"/>
        <v>2971</v>
      </c>
      <c r="K10" s="2">
        <v>3.5</v>
      </c>
      <c r="L10" s="23">
        <f>E10-评价标准!M10</f>
        <v>-0.055</v>
      </c>
      <c r="M10" s="23">
        <f>N10-评价标准!N10</f>
        <v>-0.100782280867107</v>
      </c>
      <c r="N10" s="24">
        <f t="shared" si="1"/>
        <v>1.22921771913289</v>
      </c>
    </row>
    <row r="11" ht="13.85" spans="1:14">
      <c r="A11" s="2">
        <v>5</v>
      </c>
      <c r="B11" s="2">
        <v>16457</v>
      </c>
      <c r="C11" s="1">
        <v>98.9</v>
      </c>
      <c r="D11" s="1">
        <v>4.45</v>
      </c>
      <c r="E11" s="9">
        <v>0.105</v>
      </c>
      <c r="F11" s="1">
        <v>154</v>
      </c>
      <c r="G11" s="1">
        <v>15230</v>
      </c>
      <c r="H11" s="9">
        <v>1.17</v>
      </c>
      <c r="I11" s="1">
        <v>1132</v>
      </c>
      <c r="J11" s="1">
        <f t="shared" si="0"/>
        <v>4103</v>
      </c>
      <c r="K11" s="2">
        <v>4</v>
      </c>
      <c r="L11" s="23">
        <f>E11-评价标准!M11</f>
        <v>-0.055</v>
      </c>
      <c r="M11" s="23">
        <f>N11-评价标准!N11</f>
        <v>-0.132234319889587</v>
      </c>
      <c r="N11" s="24">
        <f t="shared" si="1"/>
        <v>1.16776568011041</v>
      </c>
    </row>
    <row r="12" ht="13.85" spans="1:14">
      <c r="A12" s="2">
        <v>6</v>
      </c>
      <c r="B12" s="2">
        <v>17244</v>
      </c>
      <c r="C12" s="1">
        <v>102.1</v>
      </c>
      <c r="D12" s="1">
        <v>5.02</v>
      </c>
      <c r="E12" s="9">
        <v>0.133</v>
      </c>
      <c r="F12" s="1">
        <v>180</v>
      </c>
      <c r="G12" s="1">
        <v>18378</v>
      </c>
      <c r="H12" s="9">
        <v>1.21</v>
      </c>
      <c r="I12" s="1">
        <v>1243</v>
      </c>
      <c r="J12" s="1">
        <f t="shared" si="0"/>
        <v>5346</v>
      </c>
      <c r="K12" s="2">
        <v>3.5</v>
      </c>
      <c r="L12" s="23">
        <f>E12-评价标准!M12</f>
        <v>-0.00700000000000001</v>
      </c>
      <c r="M12" s="23">
        <f>N12-评价标准!N12</f>
        <v>-0.0433026920551542</v>
      </c>
      <c r="N12" s="24">
        <f t="shared" si="1"/>
        <v>1.20669730794485</v>
      </c>
    </row>
    <row r="13" ht="13.85" spans="1:14">
      <c r="A13" s="2">
        <v>7</v>
      </c>
      <c r="B13" s="2">
        <v>19098</v>
      </c>
      <c r="C13" s="1">
        <v>105.4</v>
      </c>
      <c r="D13" s="1">
        <v>5.64</v>
      </c>
      <c r="E13" s="9">
        <v>0.112</v>
      </c>
      <c r="F13" s="1">
        <v>190</v>
      </c>
      <c r="G13" s="1">
        <v>20026</v>
      </c>
      <c r="H13" s="9">
        <v>1.09</v>
      </c>
      <c r="I13" s="1">
        <v>1267</v>
      </c>
      <c r="J13" s="1">
        <f t="shared" si="0"/>
        <v>6613</v>
      </c>
      <c r="K13" s="2">
        <v>3</v>
      </c>
      <c r="L13" s="23">
        <f>E13-评价标准!M13</f>
        <v>-0.018</v>
      </c>
      <c r="M13" s="23">
        <f>N13-评价标准!N13</f>
        <v>-0.120327565567526</v>
      </c>
      <c r="N13" s="24">
        <f t="shared" si="1"/>
        <v>1.08967243443247</v>
      </c>
    </row>
    <row r="14" ht="13.85" spans="1:14">
      <c r="A14" s="2">
        <v>8</v>
      </c>
      <c r="B14" s="2">
        <v>20045</v>
      </c>
      <c r="C14" s="1">
        <v>110.7</v>
      </c>
      <c r="D14" s="1">
        <v>5.99</v>
      </c>
      <c r="E14" s="9">
        <v>0.108</v>
      </c>
      <c r="F14" s="1">
        <v>207</v>
      </c>
      <c r="G14" s="1">
        <v>22915</v>
      </c>
      <c r="H14" s="9">
        <v>1.14</v>
      </c>
      <c r="I14" s="1">
        <v>1433</v>
      </c>
      <c r="J14" s="1">
        <f t="shared" si="0"/>
        <v>8046</v>
      </c>
      <c r="K14" s="2">
        <v>4</v>
      </c>
      <c r="L14" s="23">
        <f>E14-评价标准!M14</f>
        <v>-0.012</v>
      </c>
      <c r="M14" s="23">
        <f>N14-评价标准!N14</f>
        <v>-0.0457375411964445</v>
      </c>
      <c r="N14" s="24">
        <f t="shared" si="1"/>
        <v>1.14426245880356</v>
      </c>
    </row>
    <row r="15" ht="13.85" spans="1:14">
      <c r="A15" s="2">
        <v>9</v>
      </c>
      <c r="B15" s="2">
        <v>19885</v>
      </c>
      <c r="C15" s="1">
        <v>114.7</v>
      </c>
      <c r="D15" s="1">
        <v>6.06</v>
      </c>
      <c r="E15" s="9">
        <v>0.115</v>
      </c>
      <c r="F15" s="1">
        <v>217</v>
      </c>
      <c r="G15" s="1">
        <v>24890</v>
      </c>
      <c r="H15" s="9">
        <v>1.09</v>
      </c>
      <c r="I15" s="1">
        <v>1569</v>
      </c>
      <c r="J15" s="1">
        <f t="shared" si="0"/>
        <v>9615</v>
      </c>
      <c r="K15" s="2">
        <v>3</v>
      </c>
      <c r="L15" s="23">
        <f>E15-评价标准!M15</f>
        <v>0.005</v>
      </c>
      <c r="M15" s="23">
        <f>N15-评价标准!N15</f>
        <v>-0.0838119135937159</v>
      </c>
      <c r="N15" s="24">
        <f t="shared" si="1"/>
        <v>1.08618808640628</v>
      </c>
    </row>
    <row r="16" ht="13.85" spans="1:14">
      <c r="A16" s="2">
        <v>10</v>
      </c>
      <c r="B16" s="2">
        <v>20018</v>
      </c>
      <c r="C16" s="1">
        <v>118.8</v>
      </c>
      <c r="D16" s="1">
        <v>6.26</v>
      </c>
      <c r="E16" s="9">
        <v>0.112</v>
      </c>
      <c r="F16" s="1">
        <v>235</v>
      </c>
      <c r="G16" s="1">
        <v>27918</v>
      </c>
      <c r="H16" s="9">
        <v>1.12</v>
      </c>
      <c r="I16" s="1">
        <v>1702</v>
      </c>
      <c r="J16" s="1">
        <f t="shared" si="0"/>
        <v>11317</v>
      </c>
      <c r="K16" s="2">
        <v>4</v>
      </c>
      <c r="L16" s="23">
        <f>E16-评价标准!M16</f>
        <v>0.012</v>
      </c>
      <c r="M16" s="23">
        <f>N16-评价标准!N16</f>
        <v>-0.0283447167537163</v>
      </c>
      <c r="N16" s="24">
        <f t="shared" si="1"/>
        <v>1.12165528324628</v>
      </c>
    </row>
    <row r="17" ht="13.85" spans="1:14">
      <c r="A17" s="2">
        <v>11</v>
      </c>
      <c r="B17" s="2">
        <v>19975</v>
      </c>
      <c r="C17" s="1">
        <v>123</v>
      </c>
      <c r="D17" s="1">
        <v>6.34</v>
      </c>
      <c r="E17" s="9">
        <v>0.097</v>
      </c>
      <c r="F17" s="1">
        <v>247</v>
      </c>
      <c r="G17" s="1">
        <v>30381</v>
      </c>
      <c r="H17" s="9">
        <v>1.09</v>
      </c>
      <c r="I17" s="1">
        <v>1889</v>
      </c>
      <c r="J17" s="1">
        <f t="shared" si="0"/>
        <v>13206</v>
      </c>
      <c r="K17" s="2">
        <v>4</v>
      </c>
      <c r="L17" s="23">
        <f>E17-评价标准!M17</f>
        <v>0.00700000000000001</v>
      </c>
      <c r="M17" s="23">
        <f>N17-评价标准!N17</f>
        <v>-0.0417773479475607</v>
      </c>
      <c r="N17" s="24">
        <f t="shared" si="1"/>
        <v>1.08822265205244</v>
      </c>
    </row>
    <row r="18" ht="13.85" spans="1:14">
      <c r="A18" s="2">
        <v>12</v>
      </c>
      <c r="B18" s="2">
        <v>19764</v>
      </c>
      <c r="C18" s="1">
        <v>127.7</v>
      </c>
      <c r="D18" s="1">
        <v>6.42</v>
      </c>
      <c r="E18" s="9">
        <v>0.088</v>
      </c>
      <c r="F18" s="1">
        <v>263</v>
      </c>
      <c r="G18" s="1">
        <v>33385</v>
      </c>
      <c r="H18" s="9">
        <v>1.11</v>
      </c>
      <c r="I18" s="1">
        <v>2010</v>
      </c>
      <c r="J18" s="1">
        <f t="shared" si="0"/>
        <v>15216</v>
      </c>
      <c r="K18" s="2">
        <v>4</v>
      </c>
      <c r="L18" s="23">
        <f>E18-评价标准!M18</f>
        <v>0.00799999999999999</v>
      </c>
      <c r="M18" s="23">
        <f>N18-评价标准!N18</f>
        <v>-0.0111224120338371</v>
      </c>
      <c r="N18" s="24">
        <f t="shared" si="1"/>
        <v>1.09887758796616</v>
      </c>
    </row>
    <row r="19" ht="13.85" spans="1:14">
      <c r="A19" s="2">
        <v>13</v>
      </c>
      <c r="B19" s="2">
        <v>19644</v>
      </c>
      <c r="C19" s="1">
        <v>132.7</v>
      </c>
      <c r="D19" s="1">
        <v>6.51</v>
      </c>
      <c r="E19" s="9">
        <v>0.089</v>
      </c>
      <c r="F19" s="1">
        <v>276</v>
      </c>
      <c r="G19" s="1">
        <v>36625</v>
      </c>
      <c r="H19" s="9">
        <v>1.09</v>
      </c>
      <c r="I19" s="1">
        <v>1954</v>
      </c>
      <c r="J19" s="1">
        <f t="shared" si="0"/>
        <v>17170</v>
      </c>
      <c r="K19" s="2">
        <v>4</v>
      </c>
      <c r="L19" s="23">
        <f>E19-评价标准!M19</f>
        <v>0.019</v>
      </c>
      <c r="M19" s="23">
        <f>N19-评价标准!N19</f>
        <v>0.00704957316159938</v>
      </c>
      <c r="N19" s="24">
        <f t="shared" si="1"/>
        <v>1.0970495731616</v>
      </c>
    </row>
    <row r="20" ht="13.85" spans="1:14">
      <c r="A20" s="2">
        <v>14</v>
      </c>
      <c r="B20" s="2">
        <v>19876</v>
      </c>
      <c r="C20" s="1">
        <v>137</v>
      </c>
      <c r="D20" s="1">
        <v>6.76</v>
      </c>
      <c r="E20" s="9">
        <v>0.035</v>
      </c>
      <c r="F20" s="1">
        <v>287</v>
      </c>
      <c r="G20" s="1">
        <v>39319</v>
      </c>
      <c r="H20" s="9">
        <v>1.07</v>
      </c>
      <c r="I20" s="1">
        <v>1801</v>
      </c>
      <c r="J20" s="1">
        <f t="shared" si="0"/>
        <v>18971</v>
      </c>
      <c r="K20" s="2">
        <v>4</v>
      </c>
      <c r="L20" s="23">
        <f>E20-评价标准!M20</f>
        <v>-0.015</v>
      </c>
      <c r="M20" s="23">
        <f>N20-评价标准!N20</f>
        <v>0.00355631399317402</v>
      </c>
      <c r="N20" s="24">
        <f t="shared" si="1"/>
        <v>1.07355631399317</v>
      </c>
    </row>
    <row r="21" ht="13.85" spans="1:14">
      <c r="A21" s="2">
        <v>15</v>
      </c>
      <c r="B21" s="2">
        <v>18615</v>
      </c>
      <c r="C21" s="1">
        <v>142.3</v>
      </c>
      <c r="D21" s="1">
        <v>7.1</v>
      </c>
      <c r="E21" s="9">
        <v>0.021</v>
      </c>
      <c r="F21" s="1">
        <v>296</v>
      </c>
      <c r="G21" s="1">
        <v>44121</v>
      </c>
      <c r="H21" s="10">
        <v>1.07</v>
      </c>
      <c r="I21" s="1">
        <v>1911</v>
      </c>
      <c r="J21" s="1">
        <f t="shared" si="0"/>
        <v>20882</v>
      </c>
      <c r="K21" s="2">
        <v>2</v>
      </c>
      <c r="L21" s="23">
        <f>E21-评价标准!M21</f>
        <v>-0.009</v>
      </c>
      <c r="M21" s="23">
        <f>N21-评价标准!N21</f>
        <v>0.0721292504895852</v>
      </c>
      <c r="N21" s="24">
        <f t="shared" si="1"/>
        <v>1.12212925048959</v>
      </c>
    </row>
    <row r="22" ht="13.85" spans="1:14">
      <c r="A22" s="2">
        <v>16</v>
      </c>
      <c r="B22" s="2">
        <v>14698</v>
      </c>
      <c r="C22" s="1">
        <v>146.1</v>
      </c>
      <c r="D22" s="1">
        <v>7.37</v>
      </c>
      <c r="E22" s="9">
        <v>0.026</v>
      </c>
      <c r="F22" s="1">
        <v>296</v>
      </c>
      <c r="G22" s="1">
        <v>43246</v>
      </c>
      <c r="H22" s="9">
        <v>1.03</v>
      </c>
      <c r="I22" s="1">
        <v>1518</v>
      </c>
      <c r="J22" s="1">
        <f t="shared" si="0"/>
        <v>22400</v>
      </c>
      <c r="K22" s="2">
        <v>3</v>
      </c>
      <c r="L22" s="23">
        <f>E22-评价标准!M22</f>
        <v>0.016</v>
      </c>
      <c r="M22" s="23">
        <f>N22-评价标准!N22</f>
        <v>-0.0398318261145486</v>
      </c>
      <c r="N22" s="24">
        <f t="shared" si="1"/>
        <v>0.980168173885451</v>
      </c>
    </row>
    <row r="23" ht="13.85" spans="1:14">
      <c r="A23" s="2">
        <v>17</v>
      </c>
      <c r="B23" s="2">
        <v>4970</v>
      </c>
      <c r="C23" s="1">
        <v>147.8</v>
      </c>
      <c r="D23" s="1">
        <v>7.59</v>
      </c>
      <c r="E23" s="11">
        <v>0.009</v>
      </c>
      <c r="F23" s="1">
        <v>296</v>
      </c>
      <c r="G23" s="12">
        <v>43748</v>
      </c>
      <c r="H23" s="9">
        <v>1.01</v>
      </c>
      <c r="I23" s="1">
        <v>600</v>
      </c>
      <c r="J23" s="1">
        <f t="shared" si="0"/>
        <v>23000</v>
      </c>
      <c r="K23" s="2"/>
      <c r="L23" s="23">
        <f>E23-评价标准!M23</f>
        <v>0.004</v>
      </c>
      <c r="M23" s="23">
        <f>N23-评价标准!N23</f>
        <v>0.0116080099893632</v>
      </c>
      <c r="N23" s="24">
        <f t="shared" si="1"/>
        <v>1.01160800998936</v>
      </c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6"/>
  <sheetViews>
    <sheetView topLeftCell="B1" workbookViewId="0">
      <selection activeCell="F30" sqref="F30"/>
    </sheetView>
  </sheetViews>
  <sheetFormatPr defaultColWidth="9" defaultRowHeight="12.75"/>
  <cols>
    <col min="1" max="1" width="12.8141592920354" customWidth="1"/>
    <col min="7" max="7" width="12.0884955752212" customWidth="1"/>
    <col min="12" max="12" width="11.8141592920354" customWidth="1"/>
    <col min="13" max="13" width="10.4513274336283" customWidth="1"/>
    <col min="14" max="14" width="11.6371681415929" customWidth="1"/>
  </cols>
  <sheetData>
    <row r="2" ht="13.85" spans="1:8">
      <c r="A2" s="1" t="s">
        <v>183</v>
      </c>
      <c r="B2" s="1">
        <v>2616</v>
      </c>
      <c r="D2" s="2" t="s">
        <v>202</v>
      </c>
      <c r="E2" s="2">
        <v>2596</v>
      </c>
      <c r="G2" s="2" t="s">
        <v>184</v>
      </c>
      <c r="H2" s="3">
        <f>G23-E4</f>
        <v>39090.1609022556</v>
      </c>
    </row>
    <row r="3" ht="13.85" spans="1:10">
      <c r="A3" s="1" t="s">
        <v>185</v>
      </c>
      <c r="B3" s="1">
        <v>167</v>
      </c>
      <c r="D3" s="2" t="s">
        <v>203</v>
      </c>
      <c r="E3" s="2">
        <v>7.3</v>
      </c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>
        <f>42431*E3/66.5</f>
        <v>4657.83909774436</v>
      </c>
      <c r="F4" s="4"/>
      <c r="G4" s="4"/>
      <c r="H4" s="4"/>
      <c r="I4" s="4"/>
      <c r="J4" s="4"/>
    </row>
    <row r="5" ht="13.85" spans="1:14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  <c r="L5" s="22" t="s">
        <v>206</v>
      </c>
      <c r="M5" s="22" t="s">
        <v>207</v>
      </c>
      <c r="N5" s="22" t="s">
        <v>208</v>
      </c>
    </row>
    <row r="6" ht="13.85" spans="1:13">
      <c r="A6" s="2">
        <v>0</v>
      </c>
      <c r="B6" s="2"/>
      <c r="C6" s="1"/>
      <c r="D6" s="1"/>
      <c r="E6" s="9">
        <v>0.148</v>
      </c>
      <c r="F6" s="1"/>
      <c r="G6" s="1">
        <v>5257</v>
      </c>
      <c r="H6" s="1"/>
      <c r="J6" s="1">
        <v>300</v>
      </c>
      <c r="K6" s="13"/>
      <c r="L6" s="23">
        <f>E6-评价标准!M6</f>
        <v>-0.052</v>
      </c>
      <c r="M6" s="23"/>
    </row>
    <row r="7" ht="13.85" spans="1:14">
      <c r="A7" s="2">
        <v>1</v>
      </c>
      <c r="B7" s="2"/>
      <c r="C7" s="1"/>
      <c r="D7" s="1"/>
      <c r="E7" s="9">
        <v>0.259</v>
      </c>
      <c r="F7" s="1"/>
      <c r="G7" s="1">
        <v>6562</v>
      </c>
      <c r="H7" s="9"/>
      <c r="I7" s="1">
        <v>563</v>
      </c>
      <c r="J7" s="1">
        <f>J6+I7</f>
        <v>863</v>
      </c>
      <c r="K7" s="2"/>
      <c r="L7" s="23">
        <f>E7-评价标准!M7</f>
        <v>0.00900000000000001</v>
      </c>
      <c r="M7" s="23">
        <f>N7-评价标准!N7</f>
        <v>0.0482404413163402</v>
      </c>
      <c r="N7" s="24">
        <f>G7/G6</f>
        <v>1.24824044131634</v>
      </c>
    </row>
    <row r="8" ht="13.85" spans="1:14">
      <c r="A8" s="2">
        <v>2</v>
      </c>
      <c r="B8" s="2"/>
      <c r="C8" s="1"/>
      <c r="D8" s="1"/>
      <c r="E8" s="9">
        <v>0.243</v>
      </c>
      <c r="F8" s="1"/>
      <c r="G8" s="1">
        <v>9147</v>
      </c>
      <c r="H8" s="9"/>
      <c r="I8" s="1">
        <v>574</v>
      </c>
      <c r="J8" s="1">
        <f t="shared" ref="J8:J23" si="0">J7+I8</f>
        <v>1437</v>
      </c>
      <c r="K8" s="2"/>
      <c r="L8" s="23">
        <f>E8-评价标准!M8</f>
        <v>0.013</v>
      </c>
      <c r="M8" s="23">
        <f>N8-评价标准!N8</f>
        <v>-0.00606522401706777</v>
      </c>
      <c r="N8" s="24">
        <f t="shared" ref="N8:N23" si="1">G8/G7</f>
        <v>1.39393477598293</v>
      </c>
    </row>
    <row r="9" ht="13.85" spans="1:14">
      <c r="A9" s="2">
        <v>3</v>
      </c>
      <c r="B9" s="2"/>
      <c r="C9" s="1"/>
      <c r="D9" s="1"/>
      <c r="E9" s="9">
        <v>0.195</v>
      </c>
      <c r="F9" s="1"/>
      <c r="G9" s="1">
        <v>10610</v>
      </c>
      <c r="H9" s="9"/>
      <c r="I9" s="1">
        <v>657</v>
      </c>
      <c r="J9" s="1">
        <f t="shared" si="0"/>
        <v>2094</v>
      </c>
      <c r="K9" s="2"/>
      <c r="L9" s="23">
        <f>E9-评价标准!M9</f>
        <v>-0.005</v>
      </c>
      <c r="M9" s="23">
        <f>N9-评价标准!N9</f>
        <v>-0.190056849240188</v>
      </c>
      <c r="N9" s="24">
        <f t="shared" si="1"/>
        <v>1.15994315075981</v>
      </c>
    </row>
    <row r="10" ht="13.85" spans="1:14">
      <c r="A10" s="2">
        <v>4</v>
      </c>
      <c r="B10" s="2"/>
      <c r="C10" s="1"/>
      <c r="D10" s="1"/>
      <c r="E10" s="9">
        <v>0.125</v>
      </c>
      <c r="F10" s="1"/>
      <c r="G10" s="1">
        <v>13042</v>
      </c>
      <c r="H10" s="9"/>
      <c r="I10" s="1">
        <v>877</v>
      </c>
      <c r="J10" s="1">
        <f t="shared" si="0"/>
        <v>2971</v>
      </c>
      <c r="K10" s="2"/>
      <c r="L10" s="23">
        <f>E10-评价标准!M10</f>
        <v>-0.055</v>
      </c>
      <c r="M10" s="23">
        <f>N10-评价标准!N10</f>
        <v>-0.100782280867107</v>
      </c>
      <c r="N10" s="24">
        <f t="shared" si="1"/>
        <v>1.22921771913289</v>
      </c>
    </row>
    <row r="11" ht="13.85" spans="1:14">
      <c r="A11" s="2">
        <v>5</v>
      </c>
      <c r="B11" s="2"/>
      <c r="C11" s="1"/>
      <c r="D11" s="1"/>
      <c r="E11" s="9">
        <v>0.105</v>
      </c>
      <c r="F11" s="1"/>
      <c r="G11" s="1">
        <v>15230</v>
      </c>
      <c r="H11" s="9"/>
      <c r="I11" s="1">
        <v>1132</v>
      </c>
      <c r="J11" s="1">
        <f t="shared" si="0"/>
        <v>4103</v>
      </c>
      <c r="K11" s="2"/>
      <c r="L11" s="23">
        <f>E11-评价标准!M11</f>
        <v>-0.055</v>
      </c>
      <c r="M11" s="23">
        <f>N11-评价标准!N11</f>
        <v>-0.132234319889587</v>
      </c>
      <c r="N11" s="24">
        <f t="shared" si="1"/>
        <v>1.16776568011041</v>
      </c>
    </row>
    <row r="12" ht="13.85" spans="1:14">
      <c r="A12" s="2">
        <v>6</v>
      </c>
      <c r="B12" s="2"/>
      <c r="C12" s="1"/>
      <c r="D12" s="1"/>
      <c r="E12" s="9">
        <v>0.133</v>
      </c>
      <c r="F12" s="1"/>
      <c r="G12" s="1">
        <v>18378</v>
      </c>
      <c r="H12" s="9"/>
      <c r="I12" s="1">
        <v>1243</v>
      </c>
      <c r="J12" s="1">
        <f t="shared" si="0"/>
        <v>5346</v>
      </c>
      <c r="K12" s="2"/>
      <c r="L12" s="23">
        <f>E12-评价标准!M12</f>
        <v>-0.00700000000000001</v>
      </c>
      <c r="M12" s="23">
        <f>N12-评价标准!N12</f>
        <v>-0.0433026920551542</v>
      </c>
      <c r="N12" s="24">
        <f t="shared" si="1"/>
        <v>1.20669730794485</v>
      </c>
    </row>
    <row r="13" ht="13.85" spans="1:14">
      <c r="A13" s="2">
        <v>7</v>
      </c>
      <c r="B13" s="2"/>
      <c r="C13" s="1"/>
      <c r="D13" s="1"/>
      <c r="E13" s="9">
        <v>0.112</v>
      </c>
      <c r="F13" s="1"/>
      <c r="G13" s="1">
        <v>20026</v>
      </c>
      <c r="H13" s="9"/>
      <c r="I13" s="1">
        <v>1267</v>
      </c>
      <c r="J13" s="1">
        <f t="shared" si="0"/>
        <v>6613</v>
      </c>
      <c r="K13" s="2"/>
      <c r="L13" s="23">
        <f>E13-评价标准!M13</f>
        <v>-0.018</v>
      </c>
      <c r="M13" s="23">
        <f>N13-评价标准!N13</f>
        <v>-0.120327565567526</v>
      </c>
      <c r="N13" s="24">
        <f t="shared" si="1"/>
        <v>1.08967243443247</v>
      </c>
    </row>
    <row r="14" ht="13.85" spans="1:14">
      <c r="A14" s="2">
        <v>8</v>
      </c>
      <c r="B14" s="2"/>
      <c r="C14" s="1"/>
      <c r="D14" s="1"/>
      <c r="E14" s="9">
        <v>0.108</v>
      </c>
      <c r="F14" s="1"/>
      <c r="G14" s="1">
        <v>22915</v>
      </c>
      <c r="H14" s="9"/>
      <c r="I14" s="1">
        <v>1433</v>
      </c>
      <c r="J14" s="1">
        <f t="shared" si="0"/>
        <v>8046</v>
      </c>
      <c r="K14" s="2"/>
      <c r="L14" s="23">
        <f>E14-评价标准!M14</f>
        <v>-0.012</v>
      </c>
      <c r="M14" s="23">
        <f>N14-评价标准!N14</f>
        <v>-0.0457375411964445</v>
      </c>
      <c r="N14" s="24">
        <f t="shared" si="1"/>
        <v>1.14426245880356</v>
      </c>
    </row>
    <row r="15" ht="13.85" spans="1:14">
      <c r="A15" s="2">
        <v>9</v>
      </c>
      <c r="B15" s="2"/>
      <c r="C15" s="1"/>
      <c r="D15" s="1"/>
      <c r="E15" s="9">
        <v>0.115</v>
      </c>
      <c r="F15" s="1"/>
      <c r="G15" s="1">
        <v>24890</v>
      </c>
      <c r="H15" s="9"/>
      <c r="I15" s="1">
        <v>1569</v>
      </c>
      <c r="J15" s="1">
        <f t="shared" si="0"/>
        <v>9615</v>
      </c>
      <c r="K15" s="2"/>
      <c r="L15" s="23">
        <f>E15-评价标准!M15</f>
        <v>0.005</v>
      </c>
      <c r="M15" s="23">
        <f>N15-评价标准!N15</f>
        <v>-0.0838119135937159</v>
      </c>
      <c r="N15" s="24">
        <f t="shared" si="1"/>
        <v>1.08618808640628</v>
      </c>
    </row>
    <row r="16" ht="13.85" spans="1:14">
      <c r="A16" s="2">
        <v>10</v>
      </c>
      <c r="B16" s="2"/>
      <c r="C16" s="1"/>
      <c r="D16" s="1"/>
      <c r="E16" s="9">
        <v>0.112</v>
      </c>
      <c r="F16" s="1"/>
      <c r="G16" s="1">
        <v>27918</v>
      </c>
      <c r="H16" s="9"/>
      <c r="I16" s="1">
        <v>1702</v>
      </c>
      <c r="J16" s="1">
        <f t="shared" si="0"/>
        <v>11317</v>
      </c>
      <c r="K16" s="2"/>
      <c r="L16" s="23">
        <f>E16-评价标准!M16</f>
        <v>0.012</v>
      </c>
      <c r="M16" s="23">
        <f>N16-评价标准!N16</f>
        <v>-0.0283447167537163</v>
      </c>
      <c r="N16" s="24">
        <f t="shared" si="1"/>
        <v>1.12165528324628</v>
      </c>
    </row>
    <row r="17" ht="13.85" spans="1:14">
      <c r="A17" s="2">
        <v>11</v>
      </c>
      <c r="B17" s="2"/>
      <c r="C17" s="1"/>
      <c r="D17" s="1"/>
      <c r="E17" s="9">
        <v>0.097</v>
      </c>
      <c r="F17" s="1"/>
      <c r="G17" s="1">
        <v>30381</v>
      </c>
      <c r="H17" s="9"/>
      <c r="I17" s="1">
        <v>1889</v>
      </c>
      <c r="J17" s="1">
        <f t="shared" si="0"/>
        <v>13206</v>
      </c>
      <c r="K17" s="2"/>
      <c r="L17" s="23">
        <f>E17-评价标准!M17</f>
        <v>0.00700000000000001</v>
      </c>
      <c r="M17" s="23">
        <f>N17-评价标准!N17</f>
        <v>-0.0417773479475607</v>
      </c>
      <c r="N17" s="24">
        <f t="shared" si="1"/>
        <v>1.08822265205244</v>
      </c>
    </row>
    <row r="18" ht="13.85" spans="1:14">
      <c r="A18" s="2">
        <v>12</v>
      </c>
      <c r="B18" s="2"/>
      <c r="C18" s="1"/>
      <c r="D18" s="1"/>
      <c r="E18" s="9">
        <v>0.088</v>
      </c>
      <c r="F18" s="1"/>
      <c r="G18" s="1">
        <v>33385</v>
      </c>
      <c r="H18" s="9"/>
      <c r="I18" s="1">
        <v>2010</v>
      </c>
      <c r="J18" s="1">
        <f t="shared" si="0"/>
        <v>15216</v>
      </c>
      <c r="K18" s="2"/>
      <c r="L18" s="23">
        <f>E18-评价标准!M18</f>
        <v>0.00799999999999999</v>
      </c>
      <c r="M18" s="23">
        <f>N18-评价标准!N18</f>
        <v>-0.0111224120338371</v>
      </c>
      <c r="N18" s="24">
        <f t="shared" si="1"/>
        <v>1.09887758796616</v>
      </c>
    </row>
    <row r="19" ht="13.85" spans="1:14">
      <c r="A19" s="2">
        <v>13</v>
      </c>
      <c r="B19" s="2"/>
      <c r="C19" s="1"/>
      <c r="D19" s="1"/>
      <c r="E19" s="9">
        <v>0.089</v>
      </c>
      <c r="F19" s="1"/>
      <c r="G19" s="1">
        <v>36625</v>
      </c>
      <c r="H19" s="9"/>
      <c r="I19" s="1">
        <v>1954</v>
      </c>
      <c r="J19" s="1">
        <f t="shared" si="0"/>
        <v>17170</v>
      </c>
      <c r="K19" s="2"/>
      <c r="L19" s="23">
        <f>E19-评价标准!M19</f>
        <v>0.019</v>
      </c>
      <c r="M19" s="23">
        <f>N19-评价标准!N19</f>
        <v>0.00704957316159938</v>
      </c>
      <c r="N19" s="24">
        <f t="shared" si="1"/>
        <v>1.0970495731616</v>
      </c>
    </row>
    <row r="20" ht="13.85" spans="1:14">
      <c r="A20" s="2">
        <v>14</v>
      </c>
      <c r="B20" s="2"/>
      <c r="C20" s="1"/>
      <c r="D20" s="1"/>
      <c r="E20" s="9">
        <v>0.035</v>
      </c>
      <c r="F20" s="1"/>
      <c r="G20" s="1">
        <v>39319</v>
      </c>
      <c r="H20" s="9"/>
      <c r="I20" s="1">
        <v>1801</v>
      </c>
      <c r="J20" s="1">
        <f t="shared" si="0"/>
        <v>18971</v>
      </c>
      <c r="K20" s="2"/>
      <c r="L20" s="23">
        <f>E20-评价标准!M20</f>
        <v>-0.015</v>
      </c>
      <c r="M20" s="23">
        <f>N20-评价标准!N20</f>
        <v>0.00355631399317402</v>
      </c>
      <c r="N20" s="24">
        <f t="shared" si="1"/>
        <v>1.07355631399317</v>
      </c>
    </row>
    <row r="21" ht="13.85" spans="1:14">
      <c r="A21" s="2">
        <v>15</v>
      </c>
      <c r="B21" s="2"/>
      <c r="C21" s="1"/>
      <c r="D21" s="1"/>
      <c r="E21" s="9">
        <v>0.021</v>
      </c>
      <c r="F21" s="1"/>
      <c r="G21" s="1">
        <v>44121</v>
      </c>
      <c r="H21" s="10"/>
      <c r="I21" s="1">
        <v>1911</v>
      </c>
      <c r="J21" s="1">
        <f t="shared" si="0"/>
        <v>20882</v>
      </c>
      <c r="K21" s="2"/>
      <c r="L21" s="23">
        <f>E21-评价标准!M21</f>
        <v>-0.009</v>
      </c>
      <c r="M21" s="23">
        <f>N21-评价标准!N21</f>
        <v>0.0721292504895852</v>
      </c>
      <c r="N21" s="24">
        <f t="shared" si="1"/>
        <v>1.12212925048959</v>
      </c>
    </row>
    <row r="22" ht="13.85" spans="1:14">
      <c r="A22" s="2">
        <v>16</v>
      </c>
      <c r="B22" s="2"/>
      <c r="C22" s="1"/>
      <c r="D22" s="1"/>
      <c r="E22" s="9">
        <v>0.026</v>
      </c>
      <c r="F22" s="1"/>
      <c r="G22" s="1">
        <v>43246</v>
      </c>
      <c r="H22" s="9"/>
      <c r="I22" s="1">
        <v>1518</v>
      </c>
      <c r="J22" s="1">
        <f t="shared" si="0"/>
        <v>22400</v>
      </c>
      <c r="K22" s="2"/>
      <c r="L22" s="23">
        <f>E22-评价标准!M22</f>
        <v>0.016</v>
      </c>
      <c r="M22" s="23">
        <f>N22-评价标准!N22</f>
        <v>-0.0398318261145486</v>
      </c>
      <c r="N22" s="24">
        <f t="shared" si="1"/>
        <v>0.980168173885451</v>
      </c>
    </row>
    <row r="23" ht="13.85" spans="1:14">
      <c r="A23" s="2">
        <v>17</v>
      </c>
      <c r="B23" s="2"/>
      <c r="C23" s="1"/>
      <c r="D23" s="1"/>
      <c r="E23" s="11">
        <v>0.009</v>
      </c>
      <c r="F23" s="1"/>
      <c r="G23" s="12">
        <v>43748</v>
      </c>
      <c r="H23" s="9"/>
      <c r="I23" s="1">
        <v>600</v>
      </c>
      <c r="J23" s="1">
        <f t="shared" si="0"/>
        <v>23000</v>
      </c>
      <c r="K23" s="2"/>
      <c r="L23" s="23">
        <f>E23-评价标准!M23</f>
        <v>0.004</v>
      </c>
      <c r="M23" s="23">
        <f>N23-评价标准!N23</f>
        <v>0.0116080099893632</v>
      </c>
      <c r="N23" s="24">
        <f t="shared" si="1"/>
        <v>1.01160800998936</v>
      </c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C1" workbookViewId="0">
      <selection activeCell="J6" sqref="J6"/>
    </sheetView>
  </sheetViews>
  <sheetFormatPr defaultColWidth="9.02654867256637" defaultRowHeight="12.75"/>
  <cols>
    <col min="5" max="5" width="12.0176991150442" customWidth="1"/>
    <col min="7" max="7" width="12.0884955752212" customWidth="1"/>
  </cols>
  <sheetData>
    <row r="2" ht="13.85" spans="1:8">
      <c r="A2" s="1" t="s">
        <v>183</v>
      </c>
      <c r="B2" s="1">
        <v>2615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0.13</v>
      </c>
      <c r="F6" s="1"/>
      <c r="G6" s="1">
        <v>5405</v>
      </c>
      <c r="H6" s="1"/>
      <c r="I6" s="15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0.274</v>
      </c>
      <c r="F7" s="1"/>
      <c r="G7" s="1">
        <v>6586</v>
      </c>
      <c r="H7" s="9"/>
      <c r="I7" s="15">
        <v>472</v>
      </c>
      <c r="J7" s="1"/>
      <c r="K7" s="2"/>
    </row>
    <row r="8" ht="13.85" spans="1:11">
      <c r="A8" s="2">
        <v>2</v>
      </c>
      <c r="B8" s="2"/>
      <c r="C8" s="1"/>
      <c r="D8" s="1"/>
      <c r="E8" s="9">
        <v>0.238</v>
      </c>
      <c r="F8" s="1"/>
      <c r="G8" s="1">
        <v>7678</v>
      </c>
      <c r="H8" s="9"/>
      <c r="I8" s="1">
        <v>514</v>
      </c>
      <c r="J8" s="1"/>
      <c r="K8" s="2"/>
    </row>
    <row r="9" ht="13.85" spans="1:11">
      <c r="A9" s="2">
        <v>3</v>
      </c>
      <c r="B9" s="2"/>
      <c r="C9" s="1"/>
      <c r="D9" s="1"/>
      <c r="E9" s="9">
        <v>0.202</v>
      </c>
      <c r="F9" s="1"/>
      <c r="G9" s="1">
        <v>10252</v>
      </c>
      <c r="H9" s="9"/>
      <c r="I9" s="1">
        <v>655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0.128</v>
      </c>
      <c r="F10" s="1"/>
      <c r="G10" s="1">
        <v>12591</v>
      </c>
      <c r="H10" s="9"/>
      <c r="I10" s="1">
        <v>862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0.109</v>
      </c>
      <c r="F11" s="1"/>
      <c r="G11" s="1">
        <v>15267</v>
      </c>
      <c r="H11" s="9"/>
      <c r="I11" s="1">
        <v>1096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0.155</v>
      </c>
      <c r="F12" s="1"/>
      <c r="G12" s="1">
        <v>17574</v>
      </c>
      <c r="H12" s="9"/>
      <c r="I12" s="1">
        <v>1148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0.155</v>
      </c>
      <c r="F13" s="1"/>
      <c r="G13" s="1">
        <v>19678</v>
      </c>
      <c r="H13" s="9"/>
      <c r="I13" s="1">
        <v>1256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0.138</v>
      </c>
      <c r="F14" s="1"/>
      <c r="G14" s="1">
        <v>22680</v>
      </c>
      <c r="H14" s="9"/>
      <c r="I14" s="1">
        <v>1282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0.133</v>
      </c>
      <c r="F15" s="1"/>
      <c r="G15" s="1">
        <v>24651</v>
      </c>
      <c r="H15" s="9"/>
      <c r="I15" s="1">
        <v>1440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0.104</v>
      </c>
      <c r="F16" s="1"/>
      <c r="G16" s="1">
        <v>26653</v>
      </c>
      <c r="H16" s="9"/>
      <c r="I16" s="1">
        <v>1475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0.091</v>
      </c>
      <c r="F17" s="1"/>
      <c r="G17" s="1">
        <v>29088</v>
      </c>
      <c r="H17" s="9"/>
      <c r="I17" s="1">
        <v>1636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0.07</v>
      </c>
      <c r="F18" s="1"/>
      <c r="G18" s="1">
        <v>30974</v>
      </c>
      <c r="H18" s="9"/>
      <c r="I18" s="1">
        <v>1848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0.043</v>
      </c>
      <c r="F19" s="1"/>
      <c r="G19" s="1">
        <v>33904</v>
      </c>
      <c r="H19" s="9"/>
      <c r="I19" s="1">
        <v>1902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0.05</v>
      </c>
      <c r="F20" s="1"/>
      <c r="G20" s="1">
        <v>36719</v>
      </c>
      <c r="H20" s="9"/>
      <c r="I20" s="1">
        <v>1826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0.016</v>
      </c>
      <c r="F21" s="1"/>
      <c r="G21" s="1">
        <v>39032</v>
      </c>
      <c r="H21" s="10"/>
      <c r="I21" s="1">
        <v>1786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0.012</v>
      </c>
      <c r="F22" s="1"/>
      <c r="G22" s="1">
        <v>41674</v>
      </c>
      <c r="H22" s="9"/>
      <c r="I22" s="1">
        <v>1857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0.01</v>
      </c>
      <c r="F23" s="1"/>
      <c r="G23" s="12">
        <v>42923</v>
      </c>
      <c r="H23" s="9"/>
      <c r="I23" s="1">
        <v>1279</v>
      </c>
      <c r="J23" s="1"/>
      <c r="K23" s="2"/>
    </row>
    <row r="24" ht="13.85" spans="1:11">
      <c r="A24" s="2">
        <v>18</v>
      </c>
      <c r="B24" s="13"/>
      <c r="C24" s="13"/>
      <c r="D24" s="13"/>
      <c r="E24" s="2">
        <v>0.005</v>
      </c>
      <c r="F24" s="2"/>
      <c r="G24" s="2">
        <v>43333</v>
      </c>
      <c r="H24" s="2"/>
      <c r="I24" s="1">
        <v>366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C1" workbookViewId="0">
      <selection activeCell="J7" sqref="J7"/>
    </sheetView>
  </sheetViews>
  <sheetFormatPr defaultColWidth="9.02654867256637" defaultRowHeight="12.75"/>
  <cols>
    <col min="5" max="5" width="12.0176991150442" customWidth="1"/>
    <col min="7" max="7" width="12.0884955752212" customWidth="1"/>
  </cols>
  <sheetData>
    <row r="2" ht="13.85" spans="1:8">
      <c r="A2" s="1" t="s">
        <v>183</v>
      </c>
      <c r="B2" s="1">
        <v>2617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0.128</v>
      </c>
      <c r="F6" s="1"/>
      <c r="G6" s="1">
        <v>5116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0.211</v>
      </c>
      <c r="F7" s="1"/>
      <c r="G7" s="1">
        <v>6408</v>
      </c>
      <c r="H7" s="9"/>
      <c r="I7" s="15">
        <v>618</v>
      </c>
      <c r="J7" s="1"/>
      <c r="K7" s="2"/>
    </row>
    <row r="8" ht="13.85" spans="1:11">
      <c r="A8" s="2">
        <v>2</v>
      </c>
      <c r="B8" s="2"/>
      <c r="C8" s="1"/>
      <c r="D8" s="1"/>
      <c r="E8" s="9">
        <v>0.177</v>
      </c>
      <c r="F8" s="1"/>
      <c r="G8" s="1">
        <v>8876</v>
      </c>
      <c r="H8" s="9"/>
      <c r="I8" s="1">
        <v>531</v>
      </c>
      <c r="J8" s="1"/>
      <c r="K8" s="2"/>
    </row>
    <row r="9" ht="13.85" spans="1:11">
      <c r="A9" s="2">
        <v>3</v>
      </c>
      <c r="B9" s="2"/>
      <c r="C9" s="1"/>
      <c r="D9" s="1"/>
      <c r="E9" s="9">
        <v>0.143</v>
      </c>
      <c r="F9" s="1"/>
      <c r="G9" s="1">
        <v>10916</v>
      </c>
      <c r="H9" s="9"/>
      <c r="I9" s="1">
        <v>691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0.137</v>
      </c>
      <c r="F10" s="1"/>
      <c r="G10" s="1">
        <v>12377</v>
      </c>
      <c r="H10" s="9"/>
      <c r="I10" s="1">
        <v>916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0.129</v>
      </c>
      <c r="F11" s="1"/>
      <c r="G11" s="1">
        <v>14963</v>
      </c>
      <c r="H11" s="9"/>
      <c r="I11" s="1">
        <v>1091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0.123</v>
      </c>
      <c r="F12" s="1"/>
      <c r="G12" s="1">
        <v>17688</v>
      </c>
      <c r="H12" s="9"/>
      <c r="I12" s="1">
        <v>1141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0.11</v>
      </c>
      <c r="F13" s="1"/>
      <c r="G13" s="1">
        <v>19855</v>
      </c>
      <c r="H13" s="9"/>
      <c r="I13" s="1">
        <v>1298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0.096</v>
      </c>
      <c r="F14" s="1"/>
      <c r="G14" s="1">
        <v>22974</v>
      </c>
      <c r="H14" s="9"/>
      <c r="I14" s="1">
        <v>1403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0.09</v>
      </c>
      <c r="F15" s="1"/>
      <c r="G15" s="1">
        <v>26080</v>
      </c>
      <c r="H15" s="9"/>
      <c r="I15" s="1">
        <v>1539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0.084</v>
      </c>
      <c r="F16" s="1"/>
      <c r="G16" s="1">
        <v>29289</v>
      </c>
      <c r="H16" s="9"/>
      <c r="I16" s="1">
        <v>1833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0.141</v>
      </c>
      <c r="F17" s="1"/>
      <c r="G17" s="1">
        <v>31546</v>
      </c>
      <c r="H17" s="9"/>
      <c r="I17" s="1">
        <v>1679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0.11</v>
      </c>
      <c r="F18" s="1"/>
      <c r="G18" s="1">
        <v>34047</v>
      </c>
      <c r="H18" s="9"/>
      <c r="I18" s="1">
        <v>1711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0.064</v>
      </c>
      <c r="F19" s="1"/>
      <c r="G19" s="1">
        <v>36792</v>
      </c>
      <c r="H19" s="9"/>
      <c r="I19" s="1">
        <v>1847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0.06</v>
      </c>
      <c r="F20" s="1"/>
      <c r="G20" s="1">
        <v>38675</v>
      </c>
      <c r="H20" s="9"/>
      <c r="I20" s="1">
        <v>1958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0.071</v>
      </c>
      <c r="F21" s="1"/>
      <c r="G21" s="1">
        <v>40513</v>
      </c>
      <c r="H21" s="10"/>
      <c r="I21" s="1">
        <v>1609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0.034</v>
      </c>
      <c r="F22" s="1"/>
      <c r="G22" s="1">
        <v>39820</v>
      </c>
      <c r="H22" s="9"/>
      <c r="I22" s="1">
        <v>1924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0.011</v>
      </c>
      <c r="F23" s="1"/>
      <c r="G23" s="12">
        <v>40590</v>
      </c>
      <c r="H23" s="9"/>
      <c r="I23" s="1">
        <v>904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C1" workbookViewId="0">
      <selection activeCell="J7" sqref="J7"/>
    </sheetView>
  </sheetViews>
  <sheetFormatPr defaultColWidth="9.02654867256637" defaultRowHeight="12.75"/>
  <cols>
    <col min="5" max="5" width="12.0176991150442" customWidth="1"/>
    <col min="7" max="7" width="12.0884955752212" customWidth="1"/>
  </cols>
  <sheetData>
    <row r="2" ht="13.85" spans="1:8">
      <c r="A2" s="1" t="s">
        <v>183</v>
      </c>
      <c r="B2" s="1">
        <v>2621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0.134</v>
      </c>
      <c r="F6" s="1"/>
      <c r="G6" s="1">
        <v>5334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0.224</v>
      </c>
      <c r="F7" s="1"/>
      <c r="G7" s="1">
        <v>6335</v>
      </c>
      <c r="H7" s="9"/>
      <c r="I7" s="15">
        <v>705</v>
      </c>
      <c r="J7" s="1"/>
      <c r="K7" s="2"/>
    </row>
    <row r="8" ht="13.85" spans="1:11">
      <c r="A8" s="2">
        <v>2</v>
      </c>
      <c r="B8" s="2"/>
      <c r="C8" s="1"/>
      <c r="D8" s="1"/>
      <c r="E8" s="9">
        <v>0.159</v>
      </c>
      <c r="F8" s="1"/>
      <c r="G8" s="1">
        <v>8547</v>
      </c>
      <c r="H8" s="9"/>
      <c r="I8" s="1">
        <v>535</v>
      </c>
      <c r="J8" s="1"/>
      <c r="K8" s="2"/>
    </row>
    <row r="9" ht="13.85" spans="1:11">
      <c r="A9" s="2">
        <v>3</v>
      </c>
      <c r="B9" s="2"/>
      <c r="C9" s="1"/>
      <c r="D9" s="1"/>
      <c r="E9" s="9">
        <v>0.159</v>
      </c>
      <c r="F9" s="1"/>
      <c r="G9" s="1">
        <v>10925</v>
      </c>
      <c r="H9" s="9"/>
      <c r="I9" s="1">
        <v>807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</v>
      </c>
      <c r="F10" s="1"/>
      <c r="G10" s="1">
        <v>12954</v>
      </c>
      <c r="H10" s="9"/>
      <c r="I10" s="1">
        <v>927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0.081</v>
      </c>
      <c r="F11" s="1"/>
      <c r="G11" s="1">
        <v>14385</v>
      </c>
      <c r="H11" s="9"/>
      <c r="I11" s="1">
        <v>1230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0.083</v>
      </c>
      <c r="F12" s="1"/>
      <c r="G12" s="1">
        <v>17609</v>
      </c>
      <c r="H12" s="9"/>
      <c r="I12" s="1">
        <v>1420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0.079</v>
      </c>
      <c r="F13" s="1"/>
      <c r="G13" s="1">
        <v>20862</v>
      </c>
      <c r="H13" s="9"/>
      <c r="I13" s="1">
        <v>1455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0.084</v>
      </c>
      <c r="F14" s="1"/>
      <c r="G14" s="1">
        <v>22385</v>
      </c>
      <c r="H14" s="9"/>
      <c r="I14" s="1">
        <v>1786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0.156</v>
      </c>
      <c r="F15" s="1"/>
      <c r="G15" s="1">
        <v>28536</v>
      </c>
      <c r="H15" s="9"/>
      <c r="I15" s="1">
        <v>1630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0.156</v>
      </c>
      <c r="F16" s="1"/>
      <c r="G16" s="1">
        <v>30751</v>
      </c>
      <c r="H16" s="9"/>
      <c r="I16" s="1">
        <v>1591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0.117</v>
      </c>
      <c r="F17" s="1"/>
      <c r="G17" s="1">
        <v>32918</v>
      </c>
      <c r="H17" s="9"/>
      <c r="I17" s="1">
        <v>1762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0.12</v>
      </c>
      <c r="F18" s="1"/>
      <c r="G18" s="1">
        <v>35748</v>
      </c>
      <c r="H18" s="9"/>
      <c r="I18" s="1">
        <v>1864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0.051</v>
      </c>
      <c r="F19" s="1"/>
      <c r="G19" s="1">
        <v>38775</v>
      </c>
      <c r="H19" s="9"/>
      <c r="I19" s="1">
        <v>1941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0.071</v>
      </c>
      <c r="F20" s="1"/>
      <c r="G20" s="1">
        <v>40384</v>
      </c>
      <c r="H20" s="9"/>
      <c r="I20" s="1">
        <v>1746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0.05</v>
      </c>
      <c r="F21" s="1"/>
      <c r="G21" s="1">
        <v>43068</v>
      </c>
      <c r="H21" s="10"/>
      <c r="I21" s="1">
        <v>1846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0.003</v>
      </c>
      <c r="F22" s="1"/>
      <c r="G22" s="1">
        <v>44459</v>
      </c>
      <c r="H22" s="9"/>
      <c r="I22" s="1">
        <v>1455</v>
      </c>
      <c r="J22" s="1"/>
      <c r="K22" s="2"/>
    </row>
    <row r="23" ht="13.85" spans="1:11">
      <c r="A23" s="2">
        <v>17</v>
      </c>
      <c r="B23" s="2"/>
      <c r="C23" s="1"/>
      <c r="D23" s="1"/>
      <c r="E23" s="11"/>
      <c r="F23" s="1"/>
      <c r="G23" s="12"/>
      <c r="H23" s="9"/>
      <c r="I23" s="1"/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J6" sqref="J6"/>
    </sheetView>
  </sheetViews>
  <sheetFormatPr defaultColWidth="9.02654867256637" defaultRowHeight="12.75"/>
  <cols>
    <col min="5" max="5" width="12.0176991150442" customWidth="1"/>
    <col min="7" max="7" width="12.0884955752212" customWidth="1"/>
  </cols>
  <sheetData>
    <row r="2" ht="13.85" spans="1:8">
      <c r="A2" s="1" t="s">
        <v>183</v>
      </c>
      <c r="B2" s="1">
        <v>2622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0.13</v>
      </c>
      <c r="F6" s="1"/>
      <c r="G6" s="1">
        <v>5340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0.265</v>
      </c>
      <c r="F7" s="1"/>
      <c r="G7" s="1">
        <v>5358</v>
      </c>
      <c r="H7" s="9"/>
      <c r="I7" s="1">
        <v>376</v>
      </c>
      <c r="J7" s="1"/>
      <c r="K7" s="2"/>
    </row>
    <row r="8" ht="13.85" spans="1:11">
      <c r="A8" s="2">
        <v>2</v>
      </c>
      <c r="B8" s="2"/>
      <c r="C8" s="1"/>
      <c r="D8" s="1"/>
      <c r="E8" s="9">
        <v>0.35</v>
      </c>
      <c r="F8" s="1"/>
      <c r="G8" s="1">
        <v>6335</v>
      </c>
      <c r="H8" s="9"/>
      <c r="I8" s="1">
        <v>528</v>
      </c>
      <c r="J8" s="1"/>
      <c r="K8" s="2"/>
    </row>
    <row r="9" ht="13.85" spans="1:11">
      <c r="A9" s="2">
        <v>3</v>
      </c>
      <c r="B9" s="2"/>
      <c r="C9" s="1"/>
      <c r="D9" s="1"/>
      <c r="E9" s="9">
        <v>0.275</v>
      </c>
      <c r="F9" s="1"/>
      <c r="G9" s="1">
        <v>10175</v>
      </c>
      <c r="H9" s="9"/>
      <c r="I9" s="1">
        <v>536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0.156</v>
      </c>
      <c r="F10" s="1"/>
      <c r="G10" s="1">
        <v>11635</v>
      </c>
      <c r="H10" s="9"/>
      <c r="I10" s="1">
        <v>599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0.111</v>
      </c>
      <c r="F11" s="1"/>
      <c r="G11" s="1">
        <v>14341</v>
      </c>
      <c r="H11" s="9"/>
      <c r="I11" s="1">
        <v>1006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0.12</v>
      </c>
      <c r="F12" s="1"/>
      <c r="G12" s="1">
        <v>16967</v>
      </c>
      <c r="H12" s="9"/>
      <c r="I12" s="1">
        <v>1253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0.142</v>
      </c>
      <c r="F13" s="1"/>
      <c r="G13" s="1">
        <v>19674</v>
      </c>
      <c r="H13" s="9"/>
      <c r="I13" s="1">
        <v>1450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0.123</v>
      </c>
      <c r="F14" s="1"/>
      <c r="G14" s="1">
        <v>22687</v>
      </c>
      <c r="H14" s="9"/>
      <c r="I14" s="1">
        <v>1484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0.069</v>
      </c>
      <c r="F15" s="1"/>
      <c r="G15" s="1">
        <v>25374</v>
      </c>
      <c r="H15" s="9"/>
      <c r="I15" s="1">
        <v>1756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0.129</v>
      </c>
      <c r="F16" s="1"/>
      <c r="G16" s="1">
        <v>28987</v>
      </c>
      <c r="H16" s="9"/>
      <c r="I16" s="1">
        <v>1872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0.104</v>
      </c>
      <c r="F17" s="1"/>
      <c r="G17" s="1">
        <v>32116</v>
      </c>
      <c r="H17" s="9"/>
      <c r="I17" s="1">
        <v>1863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0.078</v>
      </c>
      <c r="F18" s="1"/>
      <c r="G18" s="1">
        <v>34641</v>
      </c>
      <c r="H18" s="9"/>
      <c r="I18" s="1">
        <v>1814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0.075</v>
      </c>
      <c r="F19" s="1"/>
      <c r="G19" s="1">
        <v>37224</v>
      </c>
      <c r="H19" s="9"/>
      <c r="I19" s="1">
        <v>1953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0.086</v>
      </c>
      <c r="F20" s="1"/>
      <c r="G20" s="1">
        <v>39644</v>
      </c>
      <c r="H20" s="9"/>
      <c r="I20" s="1">
        <v>1867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0.028</v>
      </c>
      <c r="F21" s="1"/>
      <c r="G21" s="1">
        <v>41270</v>
      </c>
      <c r="H21" s="10"/>
      <c r="I21" s="1">
        <v>1846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0.006</v>
      </c>
      <c r="F22" s="1"/>
      <c r="G22" s="1">
        <v>43036</v>
      </c>
      <c r="H22" s="9"/>
      <c r="I22" s="1">
        <v>1769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0.002</v>
      </c>
      <c r="F23" s="1"/>
      <c r="G23" s="12">
        <v>43737</v>
      </c>
      <c r="H23" s="9"/>
      <c r="I23" s="1">
        <v>728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C1" workbookViewId="0">
      <selection activeCell="J6" sqref="J6"/>
    </sheetView>
  </sheetViews>
  <sheetFormatPr defaultColWidth="9.02654867256637" defaultRowHeight="12.75"/>
  <cols>
    <col min="5" max="5" width="12.0176991150442" customWidth="1"/>
    <col min="7" max="7" width="12.0884955752212" customWidth="1"/>
  </cols>
  <sheetData>
    <row r="2" ht="13.85" spans="1:8">
      <c r="A2" s="1" t="s">
        <v>183</v>
      </c>
      <c r="B2" s="1">
        <v>2624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0.2</v>
      </c>
      <c r="F6" s="1"/>
      <c r="G6" s="1">
        <v>5006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0.24</v>
      </c>
      <c r="F7" s="1"/>
      <c r="G7" s="1">
        <v>6224</v>
      </c>
      <c r="H7" s="9"/>
      <c r="I7" s="15">
        <v>459</v>
      </c>
      <c r="J7" s="1"/>
      <c r="K7" s="2"/>
    </row>
    <row r="8" ht="13.85" spans="1:11">
      <c r="A8" s="2">
        <v>2</v>
      </c>
      <c r="B8" s="2"/>
      <c r="C8" s="1"/>
      <c r="D8" s="1"/>
      <c r="E8" s="9">
        <v>0.235</v>
      </c>
      <c r="F8" s="1"/>
      <c r="G8" s="1">
        <v>8725</v>
      </c>
      <c r="H8" s="9"/>
      <c r="I8" s="1">
        <v>538</v>
      </c>
      <c r="J8" s="1"/>
      <c r="K8" s="2"/>
    </row>
    <row r="9" ht="13.85" spans="1:11">
      <c r="A9" s="2">
        <v>3</v>
      </c>
      <c r="B9" s="2"/>
      <c r="C9" s="1"/>
      <c r="D9" s="1"/>
      <c r="E9" s="9">
        <v>0.236</v>
      </c>
      <c r="F9" s="1"/>
      <c r="G9" s="1">
        <v>10974</v>
      </c>
      <c r="H9" s="9"/>
      <c r="I9" s="1">
        <v>650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0.173</v>
      </c>
      <c r="F10" s="1"/>
      <c r="G10" s="1">
        <v>12985</v>
      </c>
      <c r="H10" s="9"/>
      <c r="I10" s="1">
        <v>858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0.135</v>
      </c>
      <c r="F11" s="1"/>
      <c r="G11" s="1">
        <v>14656</v>
      </c>
      <c r="H11" s="9"/>
      <c r="I11" s="1">
        <v>989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0.138</v>
      </c>
      <c r="F12" s="1"/>
      <c r="G12" s="1">
        <v>17065</v>
      </c>
      <c r="H12" s="9"/>
      <c r="I12" s="1">
        <v>1202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0.102</v>
      </c>
      <c r="F13" s="1"/>
      <c r="G13" s="1">
        <v>20266</v>
      </c>
      <c r="H13" s="9"/>
      <c r="I13" s="1">
        <v>1245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0.081</v>
      </c>
      <c r="F14" s="1"/>
      <c r="G14" s="1">
        <v>22685</v>
      </c>
      <c r="H14" s="9"/>
      <c r="I14" s="1">
        <v>1544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0.088</v>
      </c>
      <c r="F15" s="1"/>
      <c r="G15" s="1">
        <v>25207</v>
      </c>
      <c r="H15" s="9"/>
      <c r="I15" s="1">
        <v>1731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0.128</v>
      </c>
      <c r="F16" s="1"/>
      <c r="G16" s="1">
        <v>28197</v>
      </c>
      <c r="H16" s="9"/>
      <c r="I16" s="1">
        <v>1654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0.144</v>
      </c>
      <c r="F17" s="1"/>
      <c r="G17" s="1">
        <v>31374</v>
      </c>
      <c r="H17" s="9"/>
      <c r="I17" s="1">
        <v>1703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0.121</v>
      </c>
      <c r="F18" s="1"/>
      <c r="G18" s="1">
        <v>34060</v>
      </c>
      <c r="H18" s="9"/>
      <c r="I18" s="1">
        <v>1698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0.117</v>
      </c>
      <c r="F19" s="1"/>
      <c r="G19" s="1">
        <v>36990</v>
      </c>
      <c r="H19" s="9"/>
      <c r="I19" s="1">
        <v>1725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0.085</v>
      </c>
      <c r="F20" s="1"/>
      <c r="G20" s="1">
        <v>39672</v>
      </c>
      <c r="H20" s="9"/>
      <c r="I20" s="1">
        <v>1740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0.047</v>
      </c>
      <c r="F21" s="1"/>
      <c r="G21" s="1">
        <v>42394</v>
      </c>
      <c r="H21" s="10"/>
      <c r="I21" s="1">
        <v>1831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0.076</v>
      </c>
      <c r="F22" s="1"/>
      <c r="G22" s="1">
        <v>43925</v>
      </c>
      <c r="H22" s="9"/>
      <c r="I22" s="1">
        <v>1801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0.006</v>
      </c>
      <c r="F23" s="1"/>
      <c r="G23" s="12">
        <v>45051</v>
      </c>
      <c r="H23" s="9"/>
      <c r="I23" s="1">
        <v>1322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C1" workbookViewId="0">
      <selection activeCell="J6" sqref="J6"/>
    </sheetView>
  </sheetViews>
  <sheetFormatPr defaultColWidth="9.02654867256637" defaultRowHeight="12.75"/>
  <cols>
    <col min="5" max="5" width="12.0176991150442" customWidth="1"/>
    <col min="7" max="7" width="12.0884955752212" customWidth="1"/>
  </cols>
  <sheetData>
    <row r="2" ht="13.85" spans="1:8">
      <c r="A2" s="1" t="s">
        <v>183</v>
      </c>
      <c r="B2" s="1">
        <v>2629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0.141</v>
      </c>
      <c r="F6" s="1"/>
      <c r="G6" s="1">
        <v>5352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0.208</v>
      </c>
      <c r="F7" s="1"/>
      <c r="G7" s="1">
        <v>6300</v>
      </c>
      <c r="H7" s="9"/>
      <c r="I7" s="15">
        <v>433</v>
      </c>
      <c r="J7" s="1"/>
      <c r="K7" s="2"/>
    </row>
    <row r="8" ht="13.85" spans="1:11">
      <c r="A8" s="2">
        <v>2</v>
      </c>
      <c r="B8" s="2"/>
      <c r="C8" s="1"/>
      <c r="D8" s="1"/>
      <c r="E8" s="9">
        <v>0.162</v>
      </c>
      <c r="F8" s="1"/>
      <c r="G8" s="1">
        <v>7328</v>
      </c>
      <c r="H8" s="9"/>
      <c r="I8" s="1">
        <v>534</v>
      </c>
      <c r="J8" s="1"/>
      <c r="K8" s="2"/>
    </row>
    <row r="9" ht="13.85" spans="1:11">
      <c r="A9" s="2">
        <v>3</v>
      </c>
      <c r="B9" s="2"/>
      <c r="C9" s="1"/>
      <c r="D9" s="1"/>
      <c r="E9" s="9">
        <v>0.115</v>
      </c>
      <c r="F9" s="1"/>
      <c r="G9" s="1">
        <v>10892</v>
      </c>
      <c r="H9" s="9"/>
      <c r="I9" s="1">
        <v>641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0.072</v>
      </c>
      <c r="F10" s="1"/>
      <c r="G10" s="1">
        <v>12441</v>
      </c>
      <c r="H10" s="9"/>
      <c r="I10" s="1">
        <v>913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0.107</v>
      </c>
      <c r="F11" s="1"/>
      <c r="G11" s="1">
        <v>15428</v>
      </c>
      <c r="H11" s="9"/>
      <c r="I11" s="1">
        <v>1261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0.109</v>
      </c>
      <c r="F12" s="1"/>
      <c r="G12" s="1">
        <v>18728</v>
      </c>
      <c r="H12" s="9"/>
      <c r="I12" s="1">
        <v>1139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0.093</v>
      </c>
      <c r="F13" s="1"/>
      <c r="G13" s="1">
        <v>21326</v>
      </c>
      <c r="H13" s="9"/>
      <c r="I13" s="1">
        <v>1341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0.081</v>
      </c>
      <c r="F14" s="1"/>
      <c r="G14" s="1">
        <v>24320</v>
      </c>
      <c r="H14" s="9"/>
      <c r="I14" s="1">
        <v>1513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0.087</v>
      </c>
      <c r="F15" s="1"/>
      <c r="G15" s="1">
        <v>27027</v>
      </c>
      <c r="H15" s="9"/>
      <c r="I15" s="1">
        <v>1722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0.077</v>
      </c>
      <c r="F16" s="1"/>
      <c r="G16" s="1">
        <v>29817</v>
      </c>
      <c r="H16" s="9"/>
      <c r="I16" s="1">
        <v>1693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0.062</v>
      </c>
      <c r="F17" s="1"/>
      <c r="G17" s="1">
        <v>33000</v>
      </c>
      <c r="H17" s="9"/>
      <c r="I17" s="1">
        <v>1778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0.043</v>
      </c>
      <c r="F18" s="1"/>
      <c r="G18" s="1">
        <v>36272</v>
      </c>
      <c r="H18" s="9"/>
      <c r="I18" s="1">
        <v>1927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0.022</v>
      </c>
      <c r="F19" s="1"/>
      <c r="G19" s="1">
        <v>38908</v>
      </c>
      <c r="H19" s="9"/>
      <c r="I19" s="1">
        <v>1910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0.015</v>
      </c>
      <c r="F20" s="1"/>
      <c r="G20" s="1">
        <v>42028</v>
      </c>
      <c r="H20" s="9"/>
      <c r="I20" s="1">
        <v>1862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0.015</v>
      </c>
      <c r="F21" s="1"/>
      <c r="G21" s="1">
        <v>43097</v>
      </c>
      <c r="H21" s="10"/>
      <c r="I21" s="1">
        <v>2040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0.006</v>
      </c>
      <c r="F22" s="1"/>
      <c r="G22" s="1">
        <v>43206</v>
      </c>
      <c r="H22" s="9"/>
      <c r="I22" s="1">
        <v>1499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0.006</v>
      </c>
      <c r="F23" s="1"/>
      <c r="G23" s="12">
        <v>43872</v>
      </c>
      <c r="H23" s="9"/>
      <c r="I23" s="1">
        <v>494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E1" workbookViewId="0">
      <selection activeCell="M15" sqref="M15"/>
    </sheetView>
  </sheetViews>
  <sheetFormatPr defaultColWidth="9.02654867256637" defaultRowHeight="12.75"/>
  <cols>
    <col min="5" max="5" width="10.6902654867257" customWidth="1"/>
    <col min="7" max="7" width="12.0884955752212" customWidth="1"/>
  </cols>
  <sheetData>
    <row r="2" ht="13.85" spans="1:8">
      <c r="A2" s="1" t="s">
        <v>183</v>
      </c>
      <c r="B2" s="1">
        <v>2625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0.144</v>
      </c>
      <c r="F6" s="1"/>
      <c r="G6" s="1">
        <v>5245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0.256</v>
      </c>
      <c r="F7" s="1"/>
      <c r="G7" s="1">
        <v>6593</v>
      </c>
      <c r="H7" s="9"/>
      <c r="I7" s="1">
        <v>394</v>
      </c>
      <c r="J7" s="1"/>
      <c r="K7" s="2"/>
    </row>
    <row r="8" ht="13.85" spans="1:11">
      <c r="A8" s="2">
        <v>2</v>
      </c>
      <c r="B8" s="2"/>
      <c r="C8" s="1"/>
      <c r="D8" s="1"/>
      <c r="E8" s="9">
        <v>0.25</v>
      </c>
      <c r="F8" s="1"/>
      <c r="G8" s="1">
        <v>8299</v>
      </c>
      <c r="H8" s="9"/>
      <c r="I8" s="1">
        <v>514</v>
      </c>
      <c r="J8" s="1"/>
      <c r="K8" s="2"/>
    </row>
    <row r="9" ht="13.85" spans="1:11">
      <c r="A9" s="2">
        <v>3</v>
      </c>
      <c r="B9" s="2"/>
      <c r="C9" s="1"/>
      <c r="D9" s="1"/>
      <c r="E9" s="9">
        <v>0.207</v>
      </c>
      <c r="F9" s="1"/>
      <c r="G9" s="1">
        <v>10678</v>
      </c>
      <c r="H9" s="9"/>
      <c r="I9" s="1">
        <v>595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0.185</v>
      </c>
      <c r="F10" s="1"/>
      <c r="G10" s="1">
        <v>12874</v>
      </c>
      <c r="H10" s="9"/>
      <c r="I10" s="1">
        <v>864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0.133</v>
      </c>
      <c r="F11" s="1"/>
      <c r="G11" s="1">
        <v>15246</v>
      </c>
      <c r="H11" s="9"/>
      <c r="I11" s="1">
        <v>1084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0.189</v>
      </c>
      <c r="F12" s="1"/>
      <c r="G12" s="1">
        <v>18266</v>
      </c>
      <c r="H12" s="9"/>
      <c r="I12" s="1">
        <v>1160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0.115</v>
      </c>
      <c r="F13" s="1"/>
      <c r="G13" s="1">
        <v>20438</v>
      </c>
      <c r="H13" s="9"/>
      <c r="I13" s="1">
        <v>1109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0.14</v>
      </c>
      <c r="F14" s="1"/>
      <c r="G14" s="1">
        <v>23908</v>
      </c>
      <c r="H14" s="9"/>
      <c r="I14" s="1">
        <v>1320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0.138</v>
      </c>
      <c r="F15" s="1"/>
      <c r="G15" s="1">
        <v>25801</v>
      </c>
      <c r="H15" s="9"/>
      <c r="I15" s="1">
        <v>1533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0.109</v>
      </c>
      <c r="F16" s="1"/>
      <c r="G16" s="1">
        <v>28059</v>
      </c>
      <c r="H16" s="9"/>
      <c r="I16" s="1">
        <v>1439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0.079</v>
      </c>
      <c r="F17" s="1"/>
      <c r="G17" s="1">
        <v>30479</v>
      </c>
      <c r="H17" s="9"/>
      <c r="I17" s="1">
        <v>1774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0.07</v>
      </c>
      <c r="F18" s="1"/>
      <c r="G18" s="1">
        <v>35769</v>
      </c>
      <c r="H18" s="9"/>
      <c r="I18" s="1">
        <v>1941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0.067</v>
      </c>
      <c r="F19" s="1"/>
      <c r="G19" s="1">
        <v>37012</v>
      </c>
      <c r="H19" s="9"/>
      <c r="I19" s="1">
        <v>1822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0.057</v>
      </c>
      <c r="F20" s="1"/>
      <c r="G20" s="1">
        <v>39306</v>
      </c>
      <c r="H20" s="9"/>
      <c r="I20" s="1">
        <v>1820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0.037</v>
      </c>
      <c r="F21" s="1"/>
      <c r="G21" s="1">
        <v>41586</v>
      </c>
      <c r="H21" s="10"/>
      <c r="I21" s="1">
        <v>1850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0.022</v>
      </c>
      <c r="F22" s="1"/>
      <c r="G22" s="1">
        <v>43036</v>
      </c>
      <c r="H22" s="9"/>
      <c r="I22" s="1">
        <v>1843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0.014</v>
      </c>
      <c r="F23" s="1"/>
      <c r="G23" s="12">
        <v>43964</v>
      </c>
      <c r="H23" s="9"/>
      <c r="I23" s="1">
        <v>1285</v>
      </c>
      <c r="J23" s="1"/>
      <c r="K23" s="2"/>
    </row>
    <row r="24" spans="1:11">
      <c r="A24" s="2">
        <v>18</v>
      </c>
      <c r="B24" s="13"/>
      <c r="C24" s="13"/>
      <c r="D24" s="13"/>
      <c r="E24" s="2">
        <v>0.005</v>
      </c>
      <c r="F24" s="2"/>
      <c r="G24" s="2">
        <v>44254</v>
      </c>
      <c r="H24" s="2"/>
      <c r="I24" s="2">
        <v>383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G31" sqref="G31"/>
    </sheetView>
  </sheetViews>
  <sheetFormatPr defaultColWidth="9.02654867256637" defaultRowHeight="12.75"/>
  <cols>
    <col min="5" max="5" width="12.0176991150442" customWidth="1"/>
    <col min="7" max="7" width="12.0884955752212" customWidth="1"/>
  </cols>
  <sheetData>
    <row r="2" ht="13.85" spans="1:8">
      <c r="A2" s="1" t="s">
        <v>183</v>
      </c>
      <c r="B2" s="1">
        <v>2631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0.167</v>
      </c>
      <c r="F6" s="1"/>
      <c r="G6" s="1">
        <v>6066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0.251</v>
      </c>
      <c r="F7" s="1"/>
      <c r="G7" s="1">
        <v>7323</v>
      </c>
      <c r="H7" s="9"/>
      <c r="I7" s="1">
        <v>438</v>
      </c>
      <c r="J7" s="1"/>
      <c r="K7" s="2"/>
    </row>
    <row r="8" ht="13.85" spans="1:11">
      <c r="A8" s="2">
        <v>2</v>
      </c>
      <c r="B8" s="2"/>
      <c r="C8" s="1"/>
      <c r="D8" s="1"/>
      <c r="E8" s="9">
        <v>0.177</v>
      </c>
      <c r="F8" s="1"/>
      <c r="G8" s="1">
        <v>7783</v>
      </c>
      <c r="H8" s="9"/>
      <c r="I8" s="1">
        <v>625</v>
      </c>
      <c r="J8" s="1"/>
      <c r="K8" s="2"/>
    </row>
    <row r="9" ht="13.85" spans="1:11">
      <c r="A9" s="2">
        <v>3</v>
      </c>
      <c r="B9" s="2"/>
      <c r="C9" s="1"/>
      <c r="D9" s="1"/>
      <c r="E9" s="9">
        <v>0.182</v>
      </c>
      <c r="F9" s="1"/>
      <c r="G9" s="1">
        <v>11316</v>
      </c>
      <c r="H9" s="9"/>
      <c r="I9" s="1">
        <v>823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0.129</v>
      </c>
      <c r="F10" s="1"/>
      <c r="G10" s="1">
        <v>13728</v>
      </c>
      <c r="H10" s="9"/>
      <c r="I10" s="1">
        <v>884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0.176</v>
      </c>
      <c r="F11" s="1"/>
      <c r="G11" s="1">
        <v>16549</v>
      </c>
      <c r="H11" s="9"/>
      <c r="I11" s="1">
        <v>1120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0.133</v>
      </c>
      <c r="F12" s="1"/>
      <c r="G12" s="1">
        <v>19232</v>
      </c>
      <c r="H12" s="9"/>
      <c r="I12" s="1">
        <v>1123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0.145</v>
      </c>
      <c r="F13" s="1"/>
      <c r="G13" s="1">
        <v>21394</v>
      </c>
      <c r="H13" s="9"/>
      <c r="I13" s="1">
        <v>1229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0.134</v>
      </c>
      <c r="F14" s="1"/>
      <c r="G14" s="1">
        <v>23470</v>
      </c>
      <c r="H14" s="9"/>
      <c r="I14" s="1">
        <v>1504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0.165</v>
      </c>
      <c r="F15" s="1"/>
      <c r="G15" s="1">
        <v>26724</v>
      </c>
      <c r="H15" s="9"/>
      <c r="I15" s="1">
        <v>1583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0.079</v>
      </c>
      <c r="F16" s="1"/>
      <c r="G16" s="1">
        <v>29791</v>
      </c>
      <c r="H16" s="9"/>
      <c r="I16" s="1">
        <v>1741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0.072</v>
      </c>
      <c r="F17" s="1"/>
      <c r="G17" s="1">
        <v>32796</v>
      </c>
      <c r="H17" s="9"/>
      <c r="I17" s="1">
        <v>1771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0.102</v>
      </c>
      <c r="F18" s="1"/>
      <c r="G18" s="1">
        <v>35235</v>
      </c>
      <c r="H18" s="9"/>
      <c r="I18" s="1">
        <v>1739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0.096</v>
      </c>
      <c r="F19" s="1"/>
      <c r="G19" s="1">
        <v>37125</v>
      </c>
      <c r="H19" s="9"/>
      <c r="I19" s="1">
        <v>1774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0.067</v>
      </c>
      <c r="F20" s="1"/>
      <c r="G20" s="1">
        <v>39786</v>
      </c>
      <c r="H20" s="9"/>
      <c r="I20" s="1">
        <v>1827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0.026</v>
      </c>
      <c r="F21" s="1"/>
      <c r="G21" s="1">
        <v>48188</v>
      </c>
      <c r="H21" s="10"/>
      <c r="I21" s="1">
        <v>1812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0.017</v>
      </c>
      <c r="F22" s="1"/>
      <c r="G22" s="1">
        <v>43210</v>
      </c>
      <c r="H22" s="9"/>
      <c r="I22" s="1">
        <v>1778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0.005</v>
      </c>
      <c r="F23" s="1"/>
      <c r="G23" s="12">
        <v>43819</v>
      </c>
      <c r="H23" s="9"/>
      <c r="I23" s="1">
        <v>929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I29" sqref="I29"/>
    </sheetView>
  </sheetViews>
  <sheetFormatPr defaultColWidth="9.02654867256637" defaultRowHeight="12.75"/>
  <sheetData>
    <row r="2" ht="13.85" spans="1:8">
      <c r="A2" s="1" t="s">
        <v>183</v>
      </c>
      <c r="B2" s="1">
        <v>2633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0.209</v>
      </c>
      <c r="F6" s="1"/>
      <c r="G6" s="1">
        <v>5447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0.235</v>
      </c>
      <c r="F7" s="1"/>
      <c r="G7" s="1">
        <v>6217</v>
      </c>
      <c r="H7" s="9"/>
      <c r="I7" s="1">
        <v>532</v>
      </c>
      <c r="J7" s="1"/>
      <c r="K7" s="2"/>
    </row>
    <row r="8" ht="13.85" spans="1:11">
      <c r="A8" s="2">
        <v>2</v>
      </c>
      <c r="B8" s="2"/>
      <c r="C8" s="1"/>
      <c r="D8" s="1"/>
      <c r="E8" s="9">
        <v>0.213</v>
      </c>
      <c r="F8" s="1"/>
      <c r="G8" s="1">
        <v>9296</v>
      </c>
      <c r="H8" s="9"/>
      <c r="I8" s="1">
        <v>649</v>
      </c>
      <c r="J8" s="1"/>
      <c r="K8" s="2"/>
    </row>
    <row r="9" ht="13.85" spans="1:11">
      <c r="A9" s="2">
        <v>3</v>
      </c>
      <c r="B9" s="2"/>
      <c r="C9" s="1"/>
      <c r="D9" s="1"/>
      <c r="E9" s="9">
        <v>0.169</v>
      </c>
      <c r="F9" s="1"/>
      <c r="G9" s="1">
        <v>11447</v>
      </c>
      <c r="H9" s="9"/>
      <c r="I9" s="1">
        <v>729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0.13</v>
      </c>
      <c r="F10" s="1"/>
      <c r="G10" s="1">
        <v>14312</v>
      </c>
      <c r="H10" s="9"/>
      <c r="I10" s="1">
        <v>961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0.17</v>
      </c>
      <c r="F11" s="1"/>
      <c r="G11" s="1">
        <v>16968</v>
      </c>
      <c r="H11" s="9"/>
      <c r="I11" s="1">
        <v>1193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0.175</v>
      </c>
      <c r="F12" s="1"/>
      <c r="G12" s="1">
        <v>19496</v>
      </c>
      <c r="H12" s="9"/>
      <c r="I12" s="1">
        <v>1142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0.121</v>
      </c>
      <c r="F13" s="1"/>
      <c r="G13" s="1">
        <v>22739</v>
      </c>
      <c r="H13" s="9"/>
      <c r="I13" s="1">
        <v>1224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0.144</v>
      </c>
      <c r="F14" s="1"/>
      <c r="G14" s="1">
        <v>24706</v>
      </c>
      <c r="H14" s="9"/>
      <c r="I14" s="1">
        <v>1447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0.126</v>
      </c>
      <c r="F15" s="1"/>
      <c r="G15" s="1">
        <v>26796</v>
      </c>
      <c r="H15" s="9"/>
      <c r="I15" s="1">
        <v>1547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0.089</v>
      </c>
      <c r="F16" s="1"/>
      <c r="G16" s="1">
        <v>29113</v>
      </c>
      <c r="H16" s="9"/>
      <c r="I16" s="1">
        <v>1571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0.077</v>
      </c>
      <c r="F17" s="1"/>
      <c r="G17" s="1">
        <v>32302</v>
      </c>
      <c r="H17" s="9"/>
      <c r="I17" s="1">
        <v>1927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0.06</v>
      </c>
      <c r="F18" s="1"/>
      <c r="G18" s="1">
        <v>35681</v>
      </c>
      <c r="H18" s="9"/>
      <c r="I18" s="1">
        <v>2067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0.066</v>
      </c>
      <c r="F19" s="1"/>
      <c r="G19" s="1">
        <v>38482</v>
      </c>
      <c r="H19" s="9"/>
      <c r="I19" s="1">
        <v>1898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0.057</v>
      </c>
      <c r="F20" s="1"/>
      <c r="G20" s="1">
        <v>40997</v>
      </c>
      <c r="H20" s="9"/>
      <c r="I20" s="1">
        <v>1855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0.017</v>
      </c>
      <c r="F21" s="1"/>
      <c r="G21" s="1">
        <v>42716</v>
      </c>
      <c r="H21" s="10"/>
      <c r="I21" s="1">
        <v>1882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0.016</v>
      </c>
      <c r="F22" s="1"/>
      <c r="G22" s="1">
        <v>44402</v>
      </c>
      <c r="H22" s="9"/>
      <c r="I22" s="1">
        <v>1472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0.01</v>
      </c>
      <c r="F23" s="1"/>
      <c r="G23" s="12">
        <v>44998</v>
      </c>
      <c r="H23" s="9"/>
      <c r="I23" s="1">
        <v>598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I31" sqref="I31"/>
    </sheetView>
  </sheetViews>
  <sheetFormatPr defaultColWidth="9.02654867256637" defaultRowHeight="12.75"/>
  <sheetData>
    <row r="2" ht="13.85" spans="1:8">
      <c r="A2" s="1" t="s">
        <v>183</v>
      </c>
      <c r="B2" s="1">
        <v>2634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0.159</v>
      </c>
      <c r="F6" s="1"/>
      <c r="G6" s="1">
        <v>5487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0.247</v>
      </c>
      <c r="F7" s="1"/>
      <c r="G7" s="1">
        <v>6497</v>
      </c>
      <c r="H7" s="9"/>
      <c r="I7" s="1">
        <v>426</v>
      </c>
      <c r="J7" s="1"/>
      <c r="K7" s="2"/>
    </row>
    <row r="8" ht="13.85" spans="1:11">
      <c r="A8" s="2">
        <v>2</v>
      </c>
      <c r="B8" s="2"/>
      <c r="C8" s="1"/>
      <c r="D8" s="1"/>
      <c r="E8" s="9">
        <v>0.188</v>
      </c>
      <c r="F8" s="1"/>
      <c r="G8" s="1">
        <v>9370</v>
      </c>
      <c r="H8" s="9"/>
      <c r="I8" s="1">
        <v>517</v>
      </c>
      <c r="J8" s="1"/>
      <c r="K8" s="2"/>
    </row>
    <row r="9" ht="13.85" spans="1:11">
      <c r="A9" s="2">
        <v>3</v>
      </c>
      <c r="B9" s="2"/>
      <c r="C9" s="1"/>
      <c r="D9" s="1"/>
      <c r="E9" s="9">
        <v>0.154</v>
      </c>
      <c r="F9" s="1"/>
      <c r="G9" s="1">
        <v>11441</v>
      </c>
      <c r="H9" s="9"/>
      <c r="I9" s="1">
        <v>653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0.114</v>
      </c>
      <c r="F10" s="1"/>
      <c r="G10" s="1">
        <v>12946</v>
      </c>
      <c r="H10" s="9"/>
      <c r="I10" s="1">
        <v>770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0.111</v>
      </c>
      <c r="F11" s="1"/>
      <c r="G11" s="1">
        <v>15405</v>
      </c>
      <c r="H11" s="9"/>
      <c r="I11" s="1">
        <v>1067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0.109</v>
      </c>
      <c r="F12" s="1"/>
      <c r="G12" s="1">
        <v>17782</v>
      </c>
      <c r="H12" s="9"/>
      <c r="I12" s="1">
        <v>1074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0.093</v>
      </c>
      <c r="F13" s="1"/>
      <c r="G13" s="1">
        <v>20144</v>
      </c>
      <c r="H13" s="9"/>
      <c r="I13" s="1">
        <v>1190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0.077</v>
      </c>
      <c r="F14" s="1"/>
      <c r="G14" s="1">
        <v>22063</v>
      </c>
      <c r="H14" s="9"/>
      <c r="I14" s="1">
        <v>1366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0.089</v>
      </c>
      <c r="F15" s="1"/>
      <c r="G15" s="1">
        <v>24772</v>
      </c>
      <c r="H15" s="9"/>
      <c r="I15" s="1">
        <v>1480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0.076</v>
      </c>
      <c r="F16" s="1"/>
      <c r="G16" s="1">
        <v>27939</v>
      </c>
      <c r="H16" s="9"/>
      <c r="I16" s="1">
        <v>1667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0.069</v>
      </c>
      <c r="F17" s="1"/>
      <c r="G17" s="1">
        <v>30375</v>
      </c>
      <c r="H17" s="9"/>
      <c r="I17" s="1">
        <v>1888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0.085</v>
      </c>
      <c r="F18" s="1"/>
      <c r="G18" s="1">
        <v>33549</v>
      </c>
      <c r="H18" s="9"/>
      <c r="I18" s="1">
        <v>1909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0.061</v>
      </c>
      <c r="F19" s="1"/>
      <c r="G19" s="1">
        <v>37289</v>
      </c>
      <c r="H19" s="9"/>
      <c r="I19" s="1">
        <v>1869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0.054</v>
      </c>
      <c r="F20" s="1"/>
      <c r="G20" s="1">
        <v>39150</v>
      </c>
      <c r="H20" s="9"/>
      <c r="I20" s="1">
        <v>1865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0.019</v>
      </c>
      <c r="F21" s="1"/>
      <c r="G21" s="1">
        <v>41055</v>
      </c>
      <c r="H21" s="10"/>
      <c r="I21" s="1">
        <v>1794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0.024</v>
      </c>
      <c r="F22" s="1"/>
      <c r="G22" s="1">
        <v>42661</v>
      </c>
      <c r="H22" s="9"/>
      <c r="I22" s="1">
        <v>1948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0.008</v>
      </c>
      <c r="F23" s="1"/>
      <c r="G23" s="12">
        <v>43452</v>
      </c>
      <c r="H23" s="9"/>
      <c r="I23" s="1">
        <v>1064</v>
      </c>
      <c r="J23" s="1"/>
      <c r="K23" s="2"/>
    </row>
    <row r="24" spans="1:11">
      <c r="A24" s="2">
        <v>18</v>
      </c>
      <c r="B24" s="13"/>
      <c r="C24" s="13"/>
      <c r="D24" s="13"/>
      <c r="E24" s="2">
        <v>0.003</v>
      </c>
      <c r="F24" s="13"/>
      <c r="G24" s="2">
        <v>43569</v>
      </c>
      <c r="H24" s="13"/>
      <c r="I24" s="2">
        <v>153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H30" sqref="H30"/>
    </sheetView>
  </sheetViews>
  <sheetFormatPr defaultColWidth="9.02654867256637" defaultRowHeight="12.75"/>
  <sheetData>
    <row r="2" ht="13.85" spans="1:8">
      <c r="A2" s="1" t="s">
        <v>183</v>
      </c>
      <c r="B2" s="1">
        <v>2638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0.165</v>
      </c>
      <c r="F6" s="1"/>
      <c r="G6" s="1">
        <v>5327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0.267</v>
      </c>
      <c r="F7" s="1"/>
      <c r="G7" s="1">
        <v>5524</v>
      </c>
      <c r="H7" s="9"/>
      <c r="I7" s="1">
        <v>238</v>
      </c>
      <c r="J7" s="1"/>
      <c r="K7" s="2"/>
    </row>
    <row r="8" ht="13.85" spans="1:11">
      <c r="A8" s="2">
        <v>2</v>
      </c>
      <c r="B8" s="2"/>
      <c r="C8" s="1"/>
      <c r="D8" s="1"/>
      <c r="E8" s="9">
        <v>0.233</v>
      </c>
      <c r="F8" s="1"/>
      <c r="G8" s="1">
        <v>6570</v>
      </c>
      <c r="H8" s="9"/>
      <c r="I8" s="1">
        <v>426</v>
      </c>
      <c r="J8" s="1"/>
      <c r="K8" s="2"/>
    </row>
    <row r="9" ht="13.85" spans="1:11">
      <c r="A9" s="2">
        <v>3</v>
      </c>
      <c r="B9" s="2"/>
      <c r="C9" s="1"/>
      <c r="D9" s="1"/>
      <c r="E9" s="9">
        <v>0.201</v>
      </c>
      <c r="F9" s="1"/>
      <c r="G9" s="1">
        <v>9589</v>
      </c>
      <c r="H9" s="9"/>
      <c r="I9" s="1">
        <v>600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0.145</v>
      </c>
      <c r="F10" s="1"/>
      <c r="G10" s="1">
        <v>11483</v>
      </c>
      <c r="H10" s="9"/>
      <c r="I10" s="1">
        <v>706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0.106</v>
      </c>
      <c r="F11" s="1"/>
      <c r="G11" s="1">
        <v>13914</v>
      </c>
      <c r="H11" s="9"/>
      <c r="I11" s="1">
        <v>926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0.116</v>
      </c>
      <c r="F12" s="1"/>
      <c r="G12" s="1">
        <v>16265</v>
      </c>
      <c r="H12" s="9"/>
      <c r="I12" s="1">
        <v>1207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0.095</v>
      </c>
      <c r="F13" s="1"/>
      <c r="G13" s="1">
        <v>19712</v>
      </c>
      <c r="H13" s="9"/>
      <c r="I13" s="1">
        <v>1336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0.053</v>
      </c>
      <c r="F14" s="1"/>
      <c r="G14" s="1">
        <v>22411</v>
      </c>
      <c r="H14" s="9"/>
      <c r="I14" s="1">
        <v>1532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0.116</v>
      </c>
      <c r="F15" s="1"/>
      <c r="G15" s="1">
        <v>25348</v>
      </c>
      <c r="H15" s="9"/>
      <c r="I15" s="1">
        <v>1730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0.141</v>
      </c>
      <c r="F16" s="1"/>
      <c r="G16" s="1">
        <v>28440</v>
      </c>
      <c r="H16" s="9"/>
      <c r="I16" s="1">
        <v>1320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0.087</v>
      </c>
      <c r="F17" s="1"/>
      <c r="G17" s="1">
        <v>30353</v>
      </c>
      <c r="H17" s="9"/>
      <c r="I17" s="1">
        <v>1441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0.083</v>
      </c>
      <c r="F18" s="1"/>
      <c r="G18" s="1">
        <v>31802</v>
      </c>
      <c r="H18" s="9"/>
      <c r="I18" s="1">
        <v>1548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0.074</v>
      </c>
      <c r="F19" s="1"/>
      <c r="G19" s="1">
        <v>34476</v>
      </c>
      <c r="H19" s="9"/>
      <c r="I19" s="1">
        <v>1773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0.074</v>
      </c>
      <c r="F20" s="1"/>
      <c r="G20" s="1">
        <v>36987</v>
      </c>
      <c r="H20" s="9"/>
      <c r="I20" s="1">
        <v>1800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0.052</v>
      </c>
      <c r="F21" s="1"/>
      <c r="G21" s="1">
        <v>40310</v>
      </c>
      <c r="H21" s="10"/>
      <c r="I21" s="1">
        <v>1888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0.053</v>
      </c>
      <c r="F22" s="1"/>
      <c r="G22" s="1">
        <v>42802</v>
      </c>
      <c r="H22" s="9"/>
      <c r="I22" s="1">
        <v>1774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0.044</v>
      </c>
      <c r="F23" s="1"/>
      <c r="G23" s="12">
        <v>43926</v>
      </c>
      <c r="H23" s="9"/>
      <c r="I23" s="1">
        <v>1660</v>
      </c>
      <c r="J23" s="1"/>
      <c r="K23" s="2"/>
    </row>
    <row r="24" spans="1:11">
      <c r="A24" s="2">
        <v>18</v>
      </c>
      <c r="B24" s="13"/>
      <c r="C24" s="13"/>
      <c r="D24" s="13"/>
      <c r="E24" s="2">
        <v>0.009</v>
      </c>
      <c r="F24" s="2"/>
      <c r="G24" s="2">
        <v>44666</v>
      </c>
      <c r="H24" s="2"/>
      <c r="I24" s="2">
        <v>795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H28" sqref="H28"/>
    </sheetView>
  </sheetViews>
  <sheetFormatPr defaultColWidth="9.02654867256637" defaultRowHeight="12.75"/>
  <sheetData>
    <row r="2" ht="13.85" spans="1:8">
      <c r="A2" s="1" t="s">
        <v>183</v>
      </c>
      <c r="B2" s="1">
        <v>2639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0.168</v>
      </c>
      <c r="F6" s="1"/>
      <c r="G6" s="1">
        <v>5328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0.247</v>
      </c>
      <c r="F7" s="1"/>
      <c r="G7" s="1">
        <v>6615</v>
      </c>
      <c r="H7" s="9"/>
      <c r="I7" s="15">
        <v>458</v>
      </c>
      <c r="J7" s="1"/>
      <c r="K7" s="2"/>
    </row>
    <row r="8" ht="13.85" spans="1:11">
      <c r="A8" s="2">
        <v>2</v>
      </c>
      <c r="B8" s="2"/>
      <c r="C8" s="1"/>
      <c r="D8" s="1"/>
      <c r="E8" s="9">
        <v>0.195</v>
      </c>
      <c r="F8" s="1"/>
      <c r="G8" s="1">
        <v>7272</v>
      </c>
      <c r="H8" s="9"/>
      <c r="I8" s="1">
        <v>564</v>
      </c>
      <c r="J8" s="1"/>
      <c r="K8" s="2"/>
    </row>
    <row r="9" ht="13.85" spans="1:11">
      <c r="A9" s="2">
        <v>3</v>
      </c>
      <c r="B9" s="2"/>
      <c r="C9" s="1"/>
      <c r="D9" s="1"/>
      <c r="E9" s="9">
        <v>0.2</v>
      </c>
      <c r="F9" s="1"/>
      <c r="G9" s="1">
        <v>10528</v>
      </c>
      <c r="H9" s="9"/>
      <c r="I9" s="1">
        <v>739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0.169</v>
      </c>
      <c r="F10" s="1"/>
      <c r="G10" s="1">
        <v>13193</v>
      </c>
      <c r="H10" s="9"/>
      <c r="I10" s="1">
        <v>902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0.14</v>
      </c>
      <c r="F11" s="1"/>
      <c r="G11" s="1">
        <v>15537</v>
      </c>
      <c r="H11" s="9"/>
      <c r="I11" s="1">
        <v>1208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0.121</v>
      </c>
      <c r="F12" s="1"/>
      <c r="G12" s="1">
        <v>18830</v>
      </c>
      <c r="H12" s="9"/>
      <c r="I12" s="1">
        <v>1265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0.094</v>
      </c>
      <c r="F13" s="1"/>
      <c r="G13" s="1">
        <v>20826</v>
      </c>
      <c r="H13" s="9"/>
      <c r="I13" s="1">
        <v>1525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0.149</v>
      </c>
      <c r="F14" s="1"/>
      <c r="G14" s="1">
        <v>25356</v>
      </c>
      <c r="H14" s="9"/>
      <c r="I14" s="1">
        <v>1777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0.124</v>
      </c>
      <c r="F15" s="1"/>
      <c r="G15" s="1">
        <v>28104</v>
      </c>
      <c r="H15" s="9"/>
      <c r="I15" s="1">
        <v>1413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0.111</v>
      </c>
      <c r="F16" s="1"/>
      <c r="G16" s="1">
        <v>30487</v>
      </c>
      <c r="H16" s="9"/>
      <c r="I16" s="1">
        <v>1610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0.102</v>
      </c>
      <c r="F17" s="1"/>
      <c r="G17" s="1">
        <v>33402</v>
      </c>
      <c r="H17" s="9"/>
      <c r="I17" s="1">
        <v>1821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0.061</v>
      </c>
      <c r="F18" s="1"/>
      <c r="G18" s="1">
        <v>36065</v>
      </c>
      <c r="H18" s="9"/>
      <c r="I18" s="1">
        <v>1952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0.085</v>
      </c>
      <c r="F19" s="1"/>
      <c r="G19" s="1">
        <v>39179</v>
      </c>
      <c r="H19" s="9"/>
      <c r="I19" s="1">
        <v>1859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0.052</v>
      </c>
      <c r="F20" s="1"/>
      <c r="G20" s="1">
        <v>41330</v>
      </c>
      <c r="H20" s="9"/>
      <c r="I20" s="1">
        <v>1816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0.03</v>
      </c>
      <c r="F21" s="1"/>
      <c r="G21" s="1">
        <v>42857</v>
      </c>
      <c r="H21" s="10"/>
      <c r="I21" s="1">
        <v>1903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0.024</v>
      </c>
      <c r="F22" s="1"/>
      <c r="G22" s="1">
        <v>44222</v>
      </c>
      <c r="H22" s="9"/>
      <c r="I22" s="1">
        <v>1265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0.008</v>
      </c>
      <c r="F23" s="1"/>
      <c r="G23" s="12">
        <v>44760</v>
      </c>
      <c r="H23" s="9"/>
      <c r="I23" s="1">
        <v>423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I7" sqref="I7"/>
    </sheetView>
  </sheetViews>
  <sheetFormatPr defaultColWidth="9.02654867256637" defaultRowHeight="12.75"/>
  <sheetData>
    <row r="2" ht="13.85" spans="1:8">
      <c r="A2" s="1" t="s">
        <v>183</v>
      </c>
      <c r="B2" s="1">
        <v>2640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0.144</v>
      </c>
      <c r="F6" s="1"/>
      <c r="G6" s="1">
        <v>5298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0.246</v>
      </c>
      <c r="F7" s="1"/>
      <c r="G7" s="1">
        <v>6490</v>
      </c>
      <c r="H7" s="9"/>
      <c r="I7" s="1">
        <v>235</v>
      </c>
      <c r="J7" s="1"/>
      <c r="K7" s="2"/>
    </row>
    <row r="8" ht="13.85" spans="1:11">
      <c r="A8" s="2">
        <v>2</v>
      </c>
      <c r="B8" s="2"/>
      <c r="C8" s="1"/>
      <c r="D8" s="1"/>
      <c r="E8" s="9">
        <v>0.208</v>
      </c>
      <c r="F8" s="1"/>
      <c r="G8" s="1">
        <v>7667</v>
      </c>
      <c r="H8" s="9"/>
      <c r="I8" s="1">
        <v>405</v>
      </c>
      <c r="J8" s="1"/>
      <c r="K8" s="2"/>
    </row>
    <row r="9" ht="13.85" spans="1:11">
      <c r="A9" s="2">
        <v>3</v>
      </c>
      <c r="B9" s="2"/>
      <c r="C9" s="1"/>
      <c r="D9" s="1"/>
      <c r="E9" s="9">
        <v>0.191</v>
      </c>
      <c r="F9" s="1"/>
      <c r="G9" s="1">
        <v>9445</v>
      </c>
      <c r="H9" s="9"/>
      <c r="I9" s="1">
        <v>597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0.121</v>
      </c>
      <c r="F10" s="1"/>
      <c r="G10" s="1">
        <v>12058</v>
      </c>
      <c r="H10" s="9"/>
      <c r="I10" s="1">
        <v>758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0.087</v>
      </c>
      <c r="F11" s="1"/>
      <c r="G11" s="1">
        <v>13882</v>
      </c>
      <c r="H11" s="9"/>
      <c r="I11" s="1">
        <v>1086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0.135</v>
      </c>
      <c r="F12" s="1"/>
      <c r="G12" s="1">
        <v>16197</v>
      </c>
      <c r="H12" s="9"/>
      <c r="I12" s="1">
        <v>1165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0.098</v>
      </c>
      <c r="F13" s="1"/>
      <c r="G13" s="1">
        <v>18266</v>
      </c>
      <c r="H13" s="9"/>
      <c r="I13" s="1">
        <v>1144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0.095</v>
      </c>
      <c r="F14" s="1"/>
      <c r="G14" s="1">
        <v>21788</v>
      </c>
      <c r="H14" s="9"/>
      <c r="I14" s="1">
        <v>1354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0.076</v>
      </c>
      <c r="F15" s="1"/>
      <c r="G15" s="1">
        <v>24214</v>
      </c>
      <c r="H15" s="9"/>
      <c r="I15" s="1">
        <v>1387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0.077</v>
      </c>
      <c r="F16" s="1"/>
      <c r="G16" s="1">
        <v>26935</v>
      </c>
      <c r="H16" s="9"/>
      <c r="I16" s="1">
        <v>1629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0.071</v>
      </c>
      <c r="F17" s="1"/>
      <c r="G17" s="1">
        <v>29717</v>
      </c>
      <c r="H17" s="9"/>
      <c r="I17" s="1">
        <v>1842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0.07</v>
      </c>
      <c r="F18" s="1"/>
      <c r="G18" s="1">
        <v>32734</v>
      </c>
      <c r="H18" s="9"/>
      <c r="I18" s="1">
        <v>1821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0.067</v>
      </c>
      <c r="F19" s="1"/>
      <c r="G19" s="1">
        <v>36315</v>
      </c>
      <c r="H19" s="9"/>
      <c r="I19" s="1">
        <v>1942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0.063</v>
      </c>
      <c r="F20" s="1"/>
      <c r="G20" s="1">
        <v>38233</v>
      </c>
      <c r="H20" s="9"/>
      <c r="I20" s="1">
        <v>1865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0.053</v>
      </c>
      <c r="F21" s="1"/>
      <c r="G21" s="1">
        <v>40435</v>
      </c>
      <c r="H21" s="10"/>
      <c r="I21" s="1">
        <v>1851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0.028</v>
      </c>
      <c r="F22" s="1"/>
      <c r="G22" s="1">
        <v>42338</v>
      </c>
      <c r="H22" s="9"/>
      <c r="I22" s="1">
        <v>1965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0.007</v>
      </c>
      <c r="F23" s="1"/>
      <c r="G23" s="12">
        <v>44008</v>
      </c>
      <c r="H23" s="9"/>
      <c r="I23" s="1">
        <v>1654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E29" sqref="E29"/>
    </sheetView>
  </sheetViews>
  <sheetFormatPr defaultColWidth="9.02654867256637" defaultRowHeight="12.75"/>
  <sheetData>
    <row r="2" ht="13.85" spans="1:8">
      <c r="A2" s="1" t="s">
        <v>183</v>
      </c>
      <c r="B2" s="1">
        <v>2642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0.183</v>
      </c>
      <c r="F6" s="1"/>
      <c r="G6" s="1">
        <v>5950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0.279</v>
      </c>
      <c r="F7" s="1"/>
      <c r="G7" s="1">
        <v>6984</v>
      </c>
      <c r="H7" s="9"/>
      <c r="I7" s="1">
        <v>405</v>
      </c>
      <c r="J7" s="1"/>
      <c r="K7" s="2"/>
    </row>
    <row r="8" ht="13.85" spans="1:11">
      <c r="A8" s="2">
        <v>2</v>
      </c>
      <c r="B8" s="2"/>
      <c r="C8" s="1"/>
      <c r="D8" s="1"/>
      <c r="E8" s="9">
        <v>0.198</v>
      </c>
      <c r="F8" s="1"/>
      <c r="G8" s="1">
        <v>8268</v>
      </c>
      <c r="H8" s="9"/>
      <c r="I8" s="1">
        <v>457</v>
      </c>
      <c r="J8" s="1"/>
      <c r="K8" s="2"/>
    </row>
    <row r="9" ht="13.85" spans="1:11">
      <c r="A9" s="2">
        <v>3</v>
      </c>
      <c r="B9" s="2"/>
      <c r="C9" s="1"/>
      <c r="D9" s="1"/>
      <c r="E9" s="9">
        <v>0.175</v>
      </c>
      <c r="F9" s="1"/>
      <c r="G9" s="1">
        <v>10776</v>
      </c>
      <c r="H9" s="9"/>
      <c r="I9" s="1">
        <v>657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0.126</v>
      </c>
      <c r="F10" s="1"/>
      <c r="G10" s="1">
        <v>64448</v>
      </c>
      <c r="H10" s="9"/>
      <c r="I10" s="1">
        <v>874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0.102</v>
      </c>
      <c r="F11" s="1"/>
      <c r="G11" s="1">
        <v>12448</v>
      </c>
      <c r="H11" s="9"/>
      <c r="I11" s="1">
        <v>1198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0.144</v>
      </c>
      <c r="F12" s="1"/>
      <c r="G12" s="1">
        <v>18262</v>
      </c>
      <c r="H12" s="9"/>
      <c r="I12" s="1">
        <v>1249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0.155</v>
      </c>
      <c r="F13" s="1"/>
      <c r="G13" s="1">
        <v>20176</v>
      </c>
      <c r="H13" s="9"/>
      <c r="I13" s="1">
        <v>1144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0.135</v>
      </c>
      <c r="F14" s="1"/>
      <c r="G14" s="1">
        <v>22672</v>
      </c>
      <c r="H14" s="9"/>
      <c r="I14" s="1">
        <v>1200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0.137</v>
      </c>
      <c r="F15" s="1"/>
      <c r="G15" s="1">
        <v>25063</v>
      </c>
      <c r="H15" s="9"/>
      <c r="I15" s="1">
        <v>1391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0.086</v>
      </c>
      <c r="F16" s="1"/>
      <c r="G16" s="1">
        <v>26586</v>
      </c>
      <c r="H16" s="9"/>
      <c r="I16" s="1">
        <v>1434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0.068</v>
      </c>
      <c r="F17" s="1"/>
      <c r="G17" s="1">
        <v>28751</v>
      </c>
      <c r="H17" s="9"/>
      <c r="I17" s="1">
        <v>1482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0.077</v>
      </c>
      <c r="F18" s="1"/>
      <c r="G18" s="1">
        <v>31490</v>
      </c>
      <c r="H18" s="9"/>
      <c r="I18" s="1">
        <v>1810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0.042</v>
      </c>
      <c r="F19" s="1"/>
      <c r="G19" s="1">
        <v>34803</v>
      </c>
      <c r="H19" s="9"/>
      <c r="I19" s="1">
        <v>1859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0.045</v>
      </c>
      <c r="F20" s="1"/>
      <c r="G20" s="1">
        <v>37156</v>
      </c>
      <c r="H20" s="9"/>
      <c r="I20" s="1">
        <v>1691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0.042</v>
      </c>
      <c r="F21" s="1"/>
      <c r="G21" s="1">
        <v>39548</v>
      </c>
      <c r="H21" s="10"/>
      <c r="I21" s="1">
        <v>1676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0.244</v>
      </c>
      <c r="F22" s="1"/>
      <c r="G22" s="1">
        <v>41006</v>
      </c>
      <c r="H22" s="9"/>
      <c r="I22" s="1">
        <v>1684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0.014</v>
      </c>
      <c r="F23" s="1"/>
      <c r="G23" s="12">
        <v>42778</v>
      </c>
      <c r="H23" s="9"/>
      <c r="I23" s="1">
        <v>1666</v>
      </c>
      <c r="J23" s="1"/>
      <c r="K23" s="2"/>
    </row>
    <row r="24" spans="1:11">
      <c r="A24" s="2">
        <v>18</v>
      </c>
      <c r="B24" s="13"/>
      <c r="C24" s="13"/>
      <c r="D24" s="13"/>
      <c r="E24" s="2">
        <v>0.006</v>
      </c>
      <c r="F24" s="2"/>
      <c r="G24" s="2">
        <v>43420</v>
      </c>
      <c r="H24" s="2"/>
      <c r="I24" s="2">
        <v>923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workbookViewId="0">
      <selection activeCell="H33" sqref="H33"/>
    </sheetView>
  </sheetViews>
  <sheetFormatPr defaultColWidth="9.02654867256637" defaultRowHeight="12.75"/>
  <cols>
    <col min="5" max="5" width="9.08849557522124"/>
    <col min="7" max="7" width="9.08849557522124"/>
  </cols>
  <sheetData>
    <row r="2" ht="13.85" spans="1:8">
      <c r="A2" s="1" t="s">
        <v>183</v>
      </c>
      <c r="B2" s="1">
        <v>2642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21">
        <v>0.183</v>
      </c>
      <c r="F6" s="1"/>
      <c r="G6" s="21">
        <v>5950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21">
        <v>0.279</v>
      </c>
      <c r="F7" s="1"/>
      <c r="G7" s="21">
        <v>6984</v>
      </c>
      <c r="H7" s="9"/>
      <c r="I7" s="1">
        <v>405</v>
      </c>
      <c r="J7" s="1"/>
      <c r="K7" s="2"/>
    </row>
    <row r="8" ht="13.85" spans="1:11">
      <c r="A8" s="2">
        <v>2</v>
      </c>
      <c r="B8" s="2"/>
      <c r="C8" s="1"/>
      <c r="D8" s="1"/>
      <c r="E8" s="21">
        <v>0.198</v>
      </c>
      <c r="F8" s="1"/>
      <c r="G8" s="21">
        <v>8268</v>
      </c>
      <c r="H8" s="9"/>
      <c r="I8" s="1">
        <v>457</v>
      </c>
      <c r="J8" s="1"/>
      <c r="K8" s="2"/>
    </row>
    <row r="9" ht="13.85" spans="1:11">
      <c r="A9" s="2">
        <v>3</v>
      </c>
      <c r="B9" s="2"/>
      <c r="C9" s="1"/>
      <c r="D9" s="1"/>
      <c r="E9" s="21">
        <v>0.175</v>
      </c>
      <c r="F9" s="1"/>
      <c r="G9" s="21">
        <v>10776</v>
      </c>
      <c r="H9" s="9"/>
      <c r="I9" s="1">
        <v>657</v>
      </c>
      <c r="J9" s="1"/>
      <c r="K9" s="2"/>
    </row>
    <row r="10" ht="13.85" spans="1:11">
      <c r="A10" s="2">
        <v>4</v>
      </c>
      <c r="B10" s="2"/>
      <c r="C10" s="1"/>
      <c r="D10" s="1"/>
      <c r="E10" s="21">
        <v>0.126</v>
      </c>
      <c r="F10" s="1"/>
      <c r="G10" s="21">
        <v>64448</v>
      </c>
      <c r="H10" s="9"/>
      <c r="I10" s="1">
        <v>874</v>
      </c>
      <c r="J10" s="1"/>
      <c r="K10" s="2"/>
    </row>
    <row r="11" ht="13.85" spans="1:11">
      <c r="A11" s="2">
        <v>5</v>
      </c>
      <c r="B11" s="2"/>
      <c r="C11" s="1"/>
      <c r="D11" s="1"/>
      <c r="E11" s="21">
        <v>0.102</v>
      </c>
      <c r="F11" s="1"/>
      <c r="G11" s="21">
        <v>14744</v>
      </c>
      <c r="H11" s="9"/>
      <c r="I11" s="1">
        <v>1148</v>
      </c>
      <c r="J11" s="1"/>
      <c r="K11" s="2"/>
    </row>
    <row r="12" ht="13.85" spans="1:11">
      <c r="A12" s="2">
        <v>6</v>
      </c>
      <c r="B12" s="2"/>
      <c r="C12" s="1"/>
      <c r="D12" s="1"/>
      <c r="E12" s="21">
        <v>0.144</v>
      </c>
      <c r="F12" s="1"/>
      <c r="G12" s="21">
        <v>18262</v>
      </c>
      <c r="H12" s="9"/>
      <c r="I12" s="1">
        <v>1249</v>
      </c>
      <c r="J12" s="1"/>
      <c r="K12" s="2"/>
    </row>
    <row r="13" ht="13.85" spans="1:11">
      <c r="A13" s="2">
        <v>7</v>
      </c>
      <c r="B13" s="2"/>
      <c r="C13" s="1"/>
      <c r="D13" s="1"/>
      <c r="E13" s="21">
        <v>0.155</v>
      </c>
      <c r="F13" s="1"/>
      <c r="G13" s="21">
        <v>20176</v>
      </c>
      <c r="H13" s="9"/>
      <c r="I13" s="1">
        <v>1144</v>
      </c>
      <c r="J13" s="1"/>
      <c r="K13" s="2"/>
    </row>
    <row r="14" ht="13.85" spans="1:11">
      <c r="A14" s="2">
        <v>8</v>
      </c>
      <c r="B14" s="2"/>
      <c r="C14" s="1"/>
      <c r="D14" s="1"/>
      <c r="E14" s="21">
        <v>0.135</v>
      </c>
      <c r="F14" s="1"/>
      <c r="G14" s="21">
        <v>22672</v>
      </c>
      <c r="H14" s="9"/>
      <c r="I14" s="1">
        <v>1200</v>
      </c>
      <c r="J14" s="1"/>
      <c r="K14" s="2"/>
    </row>
    <row r="15" ht="13.85" spans="1:11">
      <c r="A15" s="2">
        <v>9</v>
      </c>
      <c r="B15" s="2"/>
      <c r="C15" s="1"/>
      <c r="D15" s="1"/>
      <c r="E15" s="21">
        <v>0.137</v>
      </c>
      <c r="F15" s="1"/>
      <c r="G15" s="21">
        <v>25063</v>
      </c>
      <c r="H15" s="9"/>
      <c r="I15" s="1">
        <v>1291</v>
      </c>
      <c r="J15" s="1"/>
      <c r="K15" s="2"/>
    </row>
    <row r="16" ht="13.85" spans="1:11">
      <c r="A16" s="2">
        <v>10</v>
      </c>
      <c r="B16" s="2"/>
      <c r="C16" s="1"/>
      <c r="D16" s="1"/>
      <c r="E16" s="21">
        <v>0.086</v>
      </c>
      <c r="F16" s="1"/>
      <c r="G16" s="21">
        <v>26586</v>
      </c>
      <c r="H16" s="9"/>
      <c r="I16" s="1">
        <v>1434</v>
      </c>
      <c r="J16" s="1"/>
      <c r="K16" s="2"/>
    </row>
    <row r="17" ht="13.85" spans="1:11">
      <c r="A17" s="2">
        <v>11</v>
      </c>
      <c r="B17" s="2"/>
      <c r="C17" s="1"/>
      <c r="D17" s="1"/>
      <c r="E17" s="21">
        <v>0.068</v>
      </c>
      <c r="F17" s="1"/>
      <c r="G17" s="21">
        <v>28751</v>
      </c>
      <c r="H17" s="9"/>
      <c r="I17" s="1">
        <v>1482</v>
      </c>
      <c r="J17" s="1"/>
      <c r="K17" s="2"/>
    </row>
    <row r="18" ht="13.85" spans="1:11">
      <c r="A18" s="2">
        <v>12</v>
      </c>
      <c r="B18" s="2"/>
      <c r="C18" s="1"/>
      <c r="D18" s="1"/>
      <c r="E18" s="21">
        <v>0.077</v>
      </c>
      <c r="F18" s="1"/>
      <c r="G18" s="21">
        <v>31470</v>
      </c>
      <c r="H18" s="9"/>
      <c r="I18" s="1">
        <v>1810</v>
      </c>
      <c r="J18" s="1"/>
      <c r="K18" s="2"/>
    </row>
    <row r="19" ht="13.85" spans="1:11">
      <c r="A19" s="2">
        <v>13</v>
      </c>
      <c r="B19" s="2"/>
      <c r="C19" s="1"/>
      <c r="D19" s="1"/>
      <c r="E19" s="21">
        <v>0.042</v>
      </c>
      <c r="F19" s="1"/>
      <c r="G19" s="21">
        <v>34803</v>
      </c>
      <c r="H19" s="9"/>
      <c r="I19" s="1">
        <v>1859</v>
      </c>
      <c r="J19" s="1"/>
      <c r="K19" s="2"/>
    </row>
    <row r="20" ht="13.85" spans="1:11">
      <c r="A20" s="2">
        <v>14</v>
      </c>
      <c r="B20" s="2"/>
      <c r="C20" s="1"/>
      <c r="D20" s="1"/>
      <c r="E20" s="21">
        <v>0.045</v>
      </c>
      <c r="F20" s="1"/>
      <c r="G20" s="21">
        <v>37156</v>
      </c>
      <c r="H20" s="9"/>
      <c r="I20" s="1">
        <v>1691</v>
      </c>
      <c r="J20" s="1"/>
      <c r="K20" s="2"/>
    </row>
    <row r="21" ht="13.85" spans="1:11">
      <c r="A21" s="2">
        <v>15</v>
      </c>
      <c r="B21" s="2"/>
      <c r="C21" s="1"/>
      <c r="D21" s="1"/>
      <c r="E21" s="21">
        <v>0.042</v>
      </c>
      <c r="F21" s="1"/>
      <c r="G21" s="21">
        <v>39548</v>
      </c>
      <c r="H21" s="10"/>
      <c r="I21" s="1">
        <v>1676</v>
      </c>
      <c r="J21" s="1"/>
      <c r="K21" s="2"/>
    </row>
    <row r="22" ht="13.85" spans="1:11">
      <c r="A22" s="2">
        <v>16</v>
      </c>
      <c r="B22" s="2"/>
      <c r="C22" s="1"/>
      <c r="D22" s="1"/>
      <c r="E22" s="21">
        <v>0.044</v>
      </c>
      <c r="F22" s="1"/>
      <c r="G22" s="21">
        <v>41006</v>
      </c>
      <c r="H22" s="9"/>
      <c r="I22" s="1">
        <v>1684</v>
      </c>
      <c r="J22" s="1"/>
      <c r="K22" s="2"/>
    </row>
    <row r="23" ht="13.85" spans="1:11">
      <c r="A23" s="2">
        <v>17</v>
      </c>
      <c r="B23" s="2"/>
      <c r="C23" s="1"/>
      <c r="D23" s="1"/>
      <c r="E23" s="21">
        <v>0.014</v>
      </c>
      <c r="F23" s="1"/>
      <c r="G23" s="21">
        <v>42778</v>
      </c>
      <c r="H23" s="9"/>
      <c r="I23" s="1">
        <v>1666</v>
      </c>
      <c r="J23" s="1"/>
      <c r="K23" s="2"/>
    </row>
    <row r="24" ht="13.1" spans="1:11">
      <c r="A24" s="2">
        <v>18</v>
      </c>
      <c r="B24" s="13"/>
      <c r="C24" s="13"/>
      <c r="D24" s="13"/>
      <c r="E24" s="21">
        <v>0.006</v>
      </c>
      <c r="F24" s="13"/>
      <c r="G24" s="21">
        <v>43420</v>
      </c>
      <c r="H24" s="13"/>
      <c r="I24" s="2">
        <v>923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I29" sqref="I29"/>
    </sheetView>
  </sheetViews>
  <sheetFormatPr defaultColWidth="9.02654867256637" defaultRowHeight="12.75"/>
  <sheetData>
    <row r="2" ht="13.85" spans="1:8">
      <c r="A2" s="1" t="s">
        <v>183</v>
      </c>
      <c r="B2" s="1">
        <v>2644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0.174</v>
      </c>
      <c r="F6" s="1"/>
      <c r="G6" s="1">
        <v>5623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0.23</v>
      </c>
      <c r="F7" s="1"/>
      <c r="G7" s="1">
        <v>6630</v>
      </c>
      <c r="H7" s="9"/>
      <c r="I7" s="1">
        <v>629</v>
      </c>
      <c r="J7" s="1"/>
      <c r="K7" s="2"/>
    </row>
    <row r="8" ht="13.85" spans="1:11">
      <c r="A8" s="2">
        <v>2</v>
      </c>
      <c r="B8" s="2"/>
      <c r="C8" s="1"/>
      <c r="D8" s="1"/>
      <c r="E8" s="9">
        <v>0.215</v>
      </c>
      <c r="F8" s="1"/>
      <c r="G8" s="1">
        <v>9681</v>
      </c>
      <c r="H8" s="9"/>
      <c r="I8" s="1">
        <v>539</v>
      </c>
      <c r="J8" s="1"/>
      <c r="K8" s="2"/>
    </row>
    <row r="9" ht="13.85" spans="1:11">
      <c r="A9" s="2">
        <v>3</v>
      </c>
      <c r="B9" s="2"/>
      <c r="C9" s="1"/>
      <c r="D9" s="1"/>
      <c r="E9" s="9">
        <v>0.187</v>
      </c>
      <c r="F9" s="1"/>
      <c r="G9" s="1">
        <v>11594</v>
      </c>
      <c r="H9" s="9"/>
      <c r="I9" s="1">
        <v>600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0.112</v>
      </c>
      <c r="F10" s="1"/>
      <c r="G10" s="1">
        <v>13370</v>
      </c>
      <c r="H10" s="9"/>
      <c r="I10" s="1">
        <v>900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0.123</v>
      </c>
      <c r="F11" s="1"/>
      <c r="G11" s="1">
        <v>15872</v>
      </c>
      <c r="H11" s="9"/>
      <c r="I11" s="1">
        <v>1131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0.13</v>
      </c>
      <c r="F12" s="1"/>
      <c r="G12" s="1">
        <v>18072</v>
      </c>
      <c r="H12" s="9"/>
      <c r="I12" s="1">
        <v>1271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0.101</v>
      </c>
      <c r="F13" s="1"/>
      <c r="G13" s="1">
        <v>20901</v>
      </c>
      <c r="H13" s="9"/>
      <c r="I13" s="1">
        <v>1369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0.098</v>
      </c>
      <c r="F14" s="1"/>
      <c r="G14" s="1">
        <v>23574</v>
      </c>
      <c r="H14" s="9"/>
      <c r="I14" s="1">
        <v>1336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0.084</v>
      </c>
      <c r="F15" s="1"/>
      <c r="G15" s="1">
        <v>26565</v>
      </c>
      <c r="H15" s="9"/>
      <c r="I15" s="1">
        <v>1656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0.072</v>
      </c>
      <c r="F16" s="1"/>
      <c r="G16" s="1">
        <v>29400</v>
      </c>
      <c r="H16" s="9"/>
      <c r="I16" s="1">
        <v>1705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0.058</v>
      </c>
      <c r="F17" s="1"/>
      <c r="G17" s="1">
        <v>31868</v>
      </c>
      <c r="H17" s="9"/>
      <c r="I17" s="1">
        <v>1972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0.078</v>
      </c>
      <c r="F18" s="1"/>
      <c r="G18" s="1">
        <v>35019</v>
      </c>
      <c r="H18" s="9"/>
      <c r="I18" s="1">
        <v>1861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0.068</v>
      </c>
      <c r="F19" s="1"/>
      <c r="G19" s="1">
        <v>37822</v>
      </c>
      <c r="H19" s="9"/>
      <c r="I19" s="1">
        <v>1848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0.022</v>
      </c>
      <c r="F20" s="1"/>
      <c r="G20" s="1">
        <v>39933</v>
      </c>
      <c r="H20" s="9"/>
      <c r="I20" s="1">
        <v>1826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0.011</v>
      </c>
      <c r="F21" s="1"/>
      <c r="G21" s="1">
        <v>42333</v>
      </c>
      <c r="H21" s="10"/>
      <c r="I21" s="1">
        <v>1873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0.013</v>
      </c>
      <c r="F22" s="1"/>
      <c r="G22" s="1">
        <v>43808</v>
      </c>
      <c r="H22" s="9"/>
      <c r="I22" s="1">
        <v>1591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0.005</v>
      </c>
      <c r="F23" s="1"/>
      <c r="G23" s="12">
        <v>44423</v>
      </c>
      <c r="H23" s="9"/>
      <c r="I23" s="1">
        <v>633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J27" sqref="J27"/>
    </sheetView>
  </sheetViews>
  <sheetFormatPr defaultColWidth="9.02654867256637" defaultRowHeight="12.75"/>
  <sheetData>
    <row r="2" ht="13.85" spans="1:8">
      <c r="A2" s="1" t="s">
        <v>183</v>
      </c>
      <c r="B2" s="1">
        <v>2647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0.194</v>
      </c>
      <c r="F6" s="1"/>
      <c r="G6" s="1">
        <v>6556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0.153</v>
      </c>
      <c r="F7" s="1"/>
      <c r="G7" s="1">
        <v>7249</v>
      </c>
      <c r="H7" s="9"/>
      <c r="I7" s="21">
        <v>438</v>
      </c>
      <c r="J7" s="1"/>
      <c r="K7" s="2"/>
    </row>
    <row r="8" ht="13.85" spans="1:11">
      <c r="A8" s="2">
        <v>2</v>
      </c>
      <c r="B8" s="2"/>
      <c r="C8" s="1"/>
      <c r="D8" s="1"/>
      <c r="E8" s="9">
        <v>0.139</v>
      </c>
      <c r="F8" s="1"/>
      <c r="G8" s="1">
        <v>8390</v>
      </c>
      <c r="H8" s="9"/>
      <c r="I8" s="21">
        <v>670</v>
      </c>
      <c r="J8" s="1"/>
      <c r="K8" s="2"/>
    </row>
    <row r="9" ht="13.85" spans="1:11">
      <c r="A9" s="2">
        <v>3</v>
      </c>
      <c r="B9" s="2"/>
      <c r="C9" s="1"/>
      <c r="D9" s="1"/>
      <c r="E9" s="9">
        <v>0.121</v>
      </c>
      <c r="F9" s="1"/>
      <c r="G9" s="1">
        <v>11574</v>
      </c>
      <c r="H9" s="9"/>
      <c r="I9" s="21">
        <v>824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0.106</v>
      </c>
      <c r="F10" s="1"/>
      <c r="G10" s="1">
        <v>15468</v>
      </c>
      <c r="H10" s="9"/>
      <c r="I10" s="21">
        <v>969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0.065</v>
      </c>
      <c r="F11" s="1"/>
      <c r="G11" s="1">
        <v>17871</v>
      </c>
      <c r="H11" s="9"/>
      <c r="I11" s="21">
        <v>1250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0.151</v>
      </c>
      <c r="F12" s="1"/>
      <c r="G12" s="1">
        <v>19950</v>
      </c>
      <c r="H12" s="9"/>
      <c r="I12" s="21">
        <v>1268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0.118</v>
      </c>
      <c r="F13" s="1"/>
      <c r="G13" s="1">
        <v>22263</v>
      </c>
      <c r="H13" s="9"/>
      <c r="I13" s="21">
        <v>1263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0.072</v>
      </c>
      <c r="F14" s="1"/>
      <c r="G14" s="1">
        <v>25036</v>
      </c>
      <c r="H14" s="9"/>
      <c r="I14" s="21">
        <v>1364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0.085</v>
      </c>
      <c r="F15" s="1"/>
      <c r="G15" s="1">
        <v>27258</v>
      </c>
      <c r="H15" s="9"/>
      <c r="I15" s="21">
        <v>1729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0.055</v>
      </c>
      <c r="F16" s="1"/>
      <c r="G16" s="1">
        <v>30725</v>
      </c>
      <c r="H16" s="9"/>
      <c r="I16" s="21">
        <v>1800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0.081</v>
      </c>
      <c r="F17" s="1"/>
      <c r="G17" s="1">
        <v>34136</v>
      </c>
      <c r="H17" s="9"/>
      <c r="I17" s="21">
        <v>1808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0.083</v>
      </c>
      <c r="F18" s="1"/>
      <c r="G18" s="1">
        <v>36941</v>
      </c>
      <c r="H18" s="9"/>
      <c r="I18" s="21">
        <v>1907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0.086</v>
      </c>
      <c r="F19" s="1"/>
      <c r="G19" s="1">
        <v>39882</v>
      </c>
      <c r="H19" s="9"/>
      <c r="I19" s="21">
        <v>1776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0.056</v>
      </c>
      <c r="F20" s="1"/>
      <c r="G20" s="1">
        <v>41782</v>
      </c>
      <c r="H20" s="9"/>
      <c r="I20" s="21">
        <v>1821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0.027</v>
      </c>
      <c r="F21" s="1"/>
      <c r="G21" s="1">
        <v>43959</v>
      </c>
      <c r="H21" s="10"/>
      <c r="I21" s="21">
        <v>1871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0.016</v>
      </c>
      <c r="F22" s="1"/>
      <c r="G22" s="1">
        <v>44558</v>
      </c>
      <c r="H22" s="9"/>
      <c r="I22" s="21">
        <v>1335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0.005</v>
      </c>
      <c r="F23" s="1"/>
      <c r="G23" s="12">
        <v>44844</v>
      </c>
      <c r="H23" s="9"/>
      <c r="I23" s="21">
        <v>507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J30" sqref="J30"/>
    </sheetView>
  </sheetViews>
  <sheetFormatPr defaultColWidth="9.02654867256637" defaultRowHeight="12.75"/>
  <sheetData>
    <row r="2" ht="13.85" spans="1:8">
      <c r="A2" s="1" t="s">
        <v>183</v>
      </c>
      <c r="B2" s="1">
        <v>2648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0.109</v>
      </c>
      <c r="F6" s="1"/>
      <c r="G6" s="1">
        <v>5854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0.224</v>
      </c>
      <c r="F7" s="1"/>
      <c r="G7" s="1">
        <v>6906</v>
      </c>
      <c r="H7" s="9"/>
      <c r="I7" s="1">
        <v>503</v>
      </c>
      <c r="J7" s="1"/>
      <c r="K7" s="2"/>
    </row>
    <row r="8" ht="13.85" spans="1:11">
      <c r="A8" s="2">
        <v>2</v>
      </c>
      <c r="B8" s="2"/>
      <c r="C8" s="1"/>
      <c r="D8" s="1"/>
      <c r="E8" s="9">
        <v>0.18</v>
      </c>
      <c r="F8" s="1"/>
      <c r="G8" s="1">
        <v>7264</v>
      </c>
      <c r="H8" s="9"/>
      <c r="I8" s="1">
        <v>575</v>
      </c>
      <c r="J8" s="1"/>
      <c r="K8" s="2"/>
    </row>
    <row r="9" ht="13.85" spans="1:11">
      <c r="A9" s="2">
        <v>3</v>
      </c>
      <c r="B9" s="2"/>
      <c r="C9" s="1"/>
      <c r="D9" s="1"/>
      <c r="E9" s="9">
        <v>0.101</v>
      </c>
      <c r="F9" s="1"/>
      <c r="G9" s="1">
        <v>11304</v>
      </c>
      <c r="H9" s="9"/>
      <c r="I9" s="1">
        <v>727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0.095</v>
      </c>
      <c r="F10" s="1"/>
      <c r="G10" s="1">
        <v>13466</v>
      </c>
      <c r="H10" s="9"/>
      <c r="I10" s="1">
        <v>950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0.099</v>
      </c>
      <c r="F11" s="1"/>
      <c r="G11" s="1">
        <v>13952</v>
      </c>
      <c r="H11" s="9"/>
      <c r="I11" s="1">
        <v>1095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0.105</v>
      </c>
      <c r="F12" s="1"/>
      <c r="G12" s="1">
        <v>18758</v>
      </c>
      <c r="H12" s="9"/>
      <c r="I12" s="1">
        <v>1129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0.097</v>
      </c>
      <c r="F13" s="1"/>
      <c r="G13" s="1">
        <v>21477</v>
      </c>
      <c r="H13" s="9"/>
      <c r="I13" s="1">
        <v>1261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0.084</v>
      </c>
      <c r="F14" s="1"/>
      <c r="G14" s="1">
        <v>24797</v>
      </c>
      <c r="H14" s="9"/>
      <c r="I14" s="1">
        <v>1424</v>
      </c>
      <c r="J14" s="1"/>
      <c r="K14" s="2"/>
    </row>
    <row r="15" ht="13.85" spans="1:11">
      <c r="A15" s="2">
        <v>9</v>
      </c>
      <c r="B15" s="2"/>
      <c r="C15" s="1"/>
      <c r="D15" s="1"/>
      <c r="E15" s="20">
        <v>0.09</v>
      </c>
      <c r="F15" s="1"/>
      <c r="G15" s="1">
        <v>27004</v>
      </c>
      <c r="H15" s="9"/>
      <c r="I15" s="1">
        <v>1540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0.077</v>
      </c>
      <c r="F16" s="1"/>
      <c r="G16" s="1">
        <v>28895</v>
      </c>
      <c r="H16" s="9"/>
      <c r="I16" s="1">
        <v>1595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0.068</v>
      </c>
      <c r="F17" s="1"/>
      <c r="G17" s="1">
        <v>32061</v>
      </c>
      <c r="H17" s="9"/>
      <c r="I17" s="1">
        <v>1817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0.068</v>
      </c>
      <c r="F18" s="1"/>
      <c r="G18" s="1">
        <v>35503</v>
      </c>
      <c r="H18" s="9"/>
      <c r="I18" s="1">
        <v>1789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0.085</v>
      </c>
      <c r="F19" s="1"/>
      <c r="G19" s="1">
        <v>38437</v>
      </c>
      <c r="H19" s="9"/>
      <c r="I19" s="1">
        <v>1762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0.073</v>
      </c>
      <c r="F20" s="1"/>
      <c r="G20" s="1">
        <v>40513</v>
      </c>
      <c r="H20" s="9"/>
      <c r="I20" s="1">
        <v>1828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0.044</v>
      </c>
      <c r="F21" s="1"/>
      <c r="G21" s="1">
        <v>42210</v>
      </c>
      <c r="H21" s="10"/>
      <c r="I21" s="1">
        <v>1788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0.029</v>
      </c>
      <c r="F22" s="1"/>
      <c r="G22" s="1">
        <v>43630</v>
      </c>
      <c r="H22" s="9"/>
      <c r="I22" s="1">
        <v>1846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0.011</v>
      </c>
      <c r="F23" s="1"/>
      <c r="G23" s="12">
        <v>44488</v>
      </c>
      <c r="H23" s="9"/>
      <c r="I23" s="1">
        <v>1071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I29" sqref="I29"/>
    </sheetView>
  </sheetViews>
  <sheetFormatPr defaultColWidth="9.02654867256637" defaultRowHeight="12.75"/>
  <sheetData>
    <row r="2" ht="13.85" spans="1:8">
      <c r="A2" s="1" t="s">
        <v>183</v>
      </c>
      <c r="B2" s="1">
        <v>2649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0.174</v>
      </c>
      <c r="F6" s="1"/>
      <c r="G6" s="1">
        <v>5936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0.15</v>
      </c>
      <c r="F7" s="1"/>
      <c r="G7" s="1">
        <v>7225</v>
      </c>
      <c r="H7" s="9"/>
      <c r="I7" s="1">
        <v>542</v>
      </c>
      <c r="J7" s="1"/>
      <c r="K7" s="2"/>
    </row>
    <row r="8" ht="13.85" spans="1:11">
      <c r="A8" s="2">
        <v>2</v>
      </c>
      <c r="B8" s="2"/>
      <c r="C8" s="1"/>
      <c r="D8" s="1"/>
      <c r="E8" s="9">
        <v>0.145</v>
      </c>
      <c r="F8" s="1"/>
      <c r="G8" s="1">
        <v>8400</v>
      </c>
      <c r="H8" s="9"/>
      <c r="I8" s="1">
        <v>703</v>
      </c>
      <c r="J8" s="1"/>
      <c r="K8" s="2"/>
    </row>
    <row r="9" ht="13.85" spans="1:11">
      <c r="A9" s="2">
        <v>3</v>
      </c>
      <c r="B9" s="2"/>
      <c r="C9" s="1"/>
      <c r="D9" s="1"/>
      <c r="E9" s="9">
        <v>0.128</v>
      </c>
      <c r="F9" s="1"/>
      <c r="G9" s="1">
        <v>11340</v>
      </c>
      <c r="H9" s="9"/>
      <c r="I9" s="1">
        <v>864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0.103</v>
      </c>
      <c r="F10" s="1"/>
      <c r="G10" s="1">
        <v>14565</v>
      </c>
      <c r="H10" s="9"/>
      <c r="I10" s="1">
        <v>1092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0.112</v>
      </c>
      <c r="F11" s="1"/>
      <c r="G11" s="1">
        <v>17187</v>
      </c>
      <c r="H11" s="9"/>
      <c r="I11" s="1">
        <v>1378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0.117</v>
      </c>
      <c r="F12" s="1"/>
      <c r="G12" s="1">
        <v>19203</v>
      </c>
      <c r="H12" s="9"/>
      <c r="I12" s="1">
        <v>1112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0.086</v>
      </c>
      <c r="F13" s="1"/>
      <c r="G13" s="1">
        <v>21960</v>
      </c>
      <c r="H13" s="9"/>
      <c r="I13" s="1">
        <v>1338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0.093</v>
      </c>
      <c r="F14" s="1"/>
      <c r="G14" s="1">
        <v>24904</v>
      </c>
      <c r="H14" s="9"/>
      <c r="I14" s="1">
        <v>1516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0.148</v>
      </c>
      <c r="F15" s="1"/>
      <c r="G15" s="1">
        <v>27753</v>
      </c>
      <c r="H15" s="9"/>
      <c r="I15" s="1">
        <v>1581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0.125</v>
      </c>
      <c r="F16" s="1"/>
      <c r="G16" s="1">
        <v>30861</v>
      </c>
      <c r="H16" s="9"/>
      <c r="I16" s="1">
        <v>1762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0.096</v>
      </c>
      <c r="F17" s="1"/>
      <c r="G17" s="1">
        <v>34101</v>
      </c>
      <c r="H17" s="9"/>
      <c r="I17" s="1">
        <v>1966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0.094</v>
      </c>
      <c r="F18" s="1"/>
      <c r="G18" s="1">
        <v>37686</v>
      </c>
      <c r="H18" s="9"/>
      <c r="I18" s="1">
        <v>1761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0.077</v>
      </c>
      <c r="F19" s="1"/>
      <c r="G19" s="1">
        <v>40043</v>
      </c>
      <c r="H19" s="9"/>
      <c r="I19" s="1">
        <v>1956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0.039</v>
      </c>
      <c r="F20" s="1"/>
      <c r="G20" s="1">
        <v>39361</v>
      </c>
      <c r="H20" s="9"/>
      <c r="I20" s="1">
        <v>1985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0.036</v>
      </c>
      <c r="F21" s="1"/>
      <c r="G21" s="1">
        <v>42280</v>
      </c>
      <c r="H21" s="10"/>
      <c r="I21" s="1">
        <v>2172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0.025</v>
      </c>
      <c r="F22" s="1"/>
      <c r="G22" s="1">
        <v>43032</v>
      </c>
      <c r="H22" s="9"/>
      <c r="I22" s="1">
        <v>1022</v>
      </c>
      <c r="J22" s="1"/>
      <c r="K22" s="2"/>
    </row>
    <row r="23" ht="13.85" spans="1:11">
      <c r="A23" s="2">
        <v>17</v>
      </c>
      <c r="B23" s="2"/>
      <c r="C23" s="1"/>
      <c r="D23" s="1"/>
      <c r="E23" s="11"/>
      <c r="F23" s="1"/>
      <c r="G23" s="12"/>
      <c r="H23" s="9"/>
      <c r="I23" s="1"/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I8" sqref="I8"/>
    </sheetView>
  </sheetViews>
  <sheetFormatPr defaultColWidth="9.02654867256637" defaultRowHeight="12.75"/>
  <sheetData>
    <row r="2" ht="13.85" spans="1:8">
      <c r="A2" s="1" t="s">
        <v>183</v>
      </c>
      <c r="B2" s="1">
        <v>2653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0.175</v>
      </c>
      <c r="F6" s="1"/>
      <c r="G6" s="1">
        <v>6072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0.204</v>
      </c>
      <c r="F7" s="1"/>
      <c r="G7" s="1">
        <v>7290</v>
      </c>
      <c r="H7" s="9"/>
      <c r="I7" s="1">
        <v>606</v>
      </c>
      <c r="J7" s="1"/>
      <c r="K7" s="2"/>
    </row>
    <row r="8" ht="13.85" spans="1:11">
      <c r="A8" s="2">
        <v>2</v>
      </c>
      <c r="B8" s="2"/>
      <c r="C8" s="1"/>
      <c r="D8" s="1"/>
      <c r="E8" s="9">
        <v>0.126</v>
      </c>
      <c r="F8" s="1"/>
      <c r="G8" s="1">
        <v>8509</v>
      </c>
      <c r="H8" s="9"/>
      <c r="I8" s="1">
        <v>558</v>
      </c>
      <c r="J8" s="1"/>
      <c r="K8" s="2"/>
    </row>
    <row r="9" ht="13.85" spans="1:11">
      <c r="A9" s="2">
        <v>3</v>
      </c>
      <c r="B9" s="2"/>
      <c r="C9" s="1"/>
      <c r="D9" s="1"/>
      <c r="E9" s="9">
        <v>0.108</v>
      </c>
      <c r="F9" s="1"/>
      <c r="G9" s="1">
        <v>11705</v>
      </c>
      <c r="H9" s="9"/>
      <c r="I9" s="1">
        <v>710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0.109</v>
      </c>
      <c r="F10" s="1"/>
      <c r="G10" s="1">
        <v>13674</v>
      </c>
      <c r="H10" s="9"/>
      <c r="I10" s="1">
        <v>861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0.111</v>
      </c>
      <c r="F11" s="1"/>
      <c r="G11" s="1">
        <v>15904</v>
      </c>
      <c r="H11" s="9"/>
      <c r="I11" s="1">
        <v>1075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0.127</v>
      </c>
      <c r="F12" s="1"/>
      <c r="G12" s="1">
        <v>18396</v>
      </c>
      <c r="H12" s="9"/>
      <c r="I12" s="1">
        <v>1168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0.111</v>
      </c>
      <c r="F13" s="1"/>
      <c r="G13" s="1">
        <v>20849</v>
      </c>
      <c r="H13" s="9"/>
      <c r="I13" s="1">
        <v>1335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0.095</v>
      </c>
      <c r="F14" s="1"/>
      <c r="G14" s="1">
        <v>23324</v>
      </c>
      <c r="H14" s="9"/>
      <c r="I14" s="1">
        <v>1450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0.095</v>
      </c>
      <c r="F15" s="1"/>
      <c r="G15" s="1">
        <v>25916</v>
      </c>
      <c r="H15" s="9"/>
      <c r="I15" s="1">
        <v>1750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0.081</v>
      </c>
      <c r="F16" s="1"/>
      <c r="G16" s="1">
        <v>29288</v>
      </c>
      <c r="H16" s="9"/>
      <c r="I16" s="1">
        <v>1836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0.054</v>
      </c>
      <c r="F17" s="1"/>
      <c r="G17" s="1">
        <v>32396</v>
      </c>
      <c r="H17" s="9"/>
      <c r="I17" s="1">
        <v>1742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0.08</v>
      </c>
      <c r="F18" s="1"/>
      <c r="G18" s="1">
        <v>35899</v>
      </c>
      <c r="H18" s="9"/>
      <c r="I18" s="1">
        <v>1931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0.075</v>
      </c>
      <c r="F19" s="1"/>
      <c r="G19" s="1">
        <v>39245</v>
      </c>
      <c r="H19" s="9"/>
      <c r="I19" s="1">
        <v>1864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0.052</v>
      </c>
      <c r="F20" s="1"/>
      <c r="G20" s="1">
        <v>41271</v>
      </c>
      <c r="H20" s="9"/>
      <c r="I20" s="1">
        <v>1866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0.024</v>
      </c>
      <c r="F21" s="1"/>
      <c r="G21" s="1">
        <v>42442</v>
      </c>
      <c r="H21" s="10"/>
      <c r="I21" s="1">
        <v>1864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0.019</v>
      </c>
      <c r="F22" s="1"/>
      <c r="G22" s="1">
        <v>43897</v>
      </c>
      <c r="H22" s="9"/>
      <c r="I22" s="1">
        <v>1495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0.009</v>
      </c>
      <c r="F23" s="1"/>
      <c r="G23" s="12">
        <v>44518</v>
      </c>
      <c r="H23" s="9"/>
      <c r="I23" s="1">
        <v>594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M15" sqref="M15"/>
    </sheetView>
  </sheetViews>
  <sheetFormatPr defaultColWidth="9.02654867256637" defaultRowHeight="12.75"/>
  <sheetData>
    <row r="2" ht="13.85" spans="1:8">
      <c r="A2" s="1" t="s">
        <v>183</v>
      </c>
      <c r="B2" s="1">
        <v>2654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0.169</v>
      </c>
      <c r="F6" s="1"/>
      <c r="G6" s="1">
        <v>5594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0.228</v>
      </c>
      <c r="F7" s="1"/>
      <c r="G7" s="1">
        <v>6600</v>
      </c>
      <c r="H7" s="9"/>
      <c r="I7" s="1">
        <v>348</v>
      </c>
      <c r="J7" s="1"/>
      <c r="K7" s="2"/>
    </row>
    <row r="8" ht="13.85" spans="1:11">
      <c r="A8" s="2">
        <v>2</v>
      </c>
      <c r="B8" s="2"/>
      <c r="C8" s="1"/>
      <c r="D8" s="1"/>
      <c r="E8" s="9">
        <v>0.202</v>
      </c>
      <c r="F8" s="1"/>
      <c r="G8" s="1">
        <v>8054</v>
      </c>
      <c r="H8" s="9"/>
      <c r="I8" s="1">
        <v>531</v>
      </c>
      <c r="J8" s="1"/>
      <c r="K8" s="2"/>
    </row>
    <row r="9" ht="13.85" spans="1:11">
      <c r="A9" s="2">
        <v>3</v>
      </c>
      <c r="B9" s="2"/>
      <c r="C9" s="1"/>
      <c r="D9" s="1"/>
      <c r="E9" s="9">
        <v>0.171</v>
      </c>
      <c r="F9" s="1"/>
      <c r="G9" s="1">
        <v>10962</v>
      </c>
      <c r="H9" s="9"/>
      <c r="I9" s="1">
        <v>736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0.157</v>
      </c>
      <c r="F10" s="1"/>
      <c r="G10" s="1">
        <v>13261</v>
      </c>
      <c r="H10" s="9"/>
      <c r="I10" s="1">
        <v>845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0.143</v>
      </c>
      <c r="F11" s="1"/>
      <c r="G11" s="1">
        <v>15890</v>
      </c>
      <c r="H11" s="9"/>
      <c r="I11" s="1">
        <v>1027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0.098</v>
      </c>
      <c r="F12" s="1"/>
      <c r="G12" s="1">
        <v>18527</v>
      </c>
      <c r="H12" s="9"/>
      <c r="I12" s="1">
        <v>1242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0.088</v>
      </c>
      <c r="F13" s="1"/>
      <c r="G13" s="1">
        <v>21080</v>
      </c>
      <c r="H13" s="9"/>
      <c r="I13" s="1">
        <v>1400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0.08</v>
      </c>
      <c r="F14" s="1"/>
      <c r="G14" s="1">
        <v>24196</v>
      </c>
      <c r="H14" s="9"/>
      <c r="I14" s="1">
        <v>1549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0.081</v>
      </c>
      <c r="F15" s="1"/>
      <c r="G15" s="1">
        <v>26152</v>
      </c>
      <c r="H15" s="9"/>
      <c r="I15" s="1">
        <v>1353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0.072</v>
      </c>
      <c r="F16" s="1"/>
      <c r="G16" s="1">
        <v>28416</v>
      </c>
      <c r="H16" s="9"/>
      <c r="I16" s="1">
        <v>1407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0.075</v>
      </c>
      <c r="F17" s="1"/>
      <c r="G17" s="1">
        <v>31354</v>
      </c>
      <c r="H17" s="9"/>
      <c r="I17" s="1">
        <v>1611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0.07</v>
      </c>
      <c r="F18" s="1"/>
      <c r="G18" s="1">
        <v>33676</v>
      </c>
      <c r="H18" s="9"/>
      <c r="I18" s="1">
        <v>1707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0.061</v>
      </c>
      <c r="F19" s="1"/>
      <c r="G19" s="1">
        <v>36660</v>
      </c>
      <c r="H19" s="9"/>
      <c r="I19" s="1">
        <v>1819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0.078</v>
      </c>
      <c r="F20" s="1"/>
      <c r="G20" s="1">
        <v>39208</v>
      </c>
      <c r="H20" s="9"/>
      <c r="I20" s="1">
        <v>1824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0.041</v>
      </c>
      <c r="F21" s="1"/>
      <c r="G21" s="1">
        <v>40815</v>
      </c>
      <c r="H21" s="10"/>
      <c r="I21" s="1">
        <v>1558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0.062</v>
      </c>
      <c r="F22" s="1"/>
      <c r="G22" s="1">
        <v>42568</v>
      </c>
      <c r="H22" s="9"/>
      <c r="I22" s="1">
        <v>1791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0.016</v>
      </c>
      <c r="F23" s="1"/>
      <c r="G23" s="12">
        <v>44216</v>
      </c>
      <c r="H23" s="9"/>
      <c r="I23" s="1">
        <v>1449</v>
      </c>
      <c r="J23" s="1"/>
      <c r="K23" s="2"/>
    </row>
    <row r="24" spans="1:11">
      <c r="A24" s="2">
        <v>18</v>
      </c>
      <c r="B24" s="13"/>
      <c r="C24" s="13"/>
      <c r="D24" s="13"/>
      <c r="E24" s="2">
        <v>0.005</v>
      </c>
      <c r="F24" s="2"/>
      <c r="G24" s="2">
        <v>44521</v>
      </c>
      <c r="H24" s="2"/>
      <c r="I24" s="2">
        <v>503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I26" sqref="I26"/>
    </sheetView>
  </sheetViews>
  <sheetFormatPr defaultColWidth="9.02654867256637" defaultRowHeight="12.75"/>
  <sheetData>
    <row r="2" ht="13.85" spans="1:8">
      <c r="A2" s="1" t="s">
        <v>183</v>
      </c>
      <c r="B2" s="1">
        <v>2655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0.18</v>
      </c>
      <c r="F6" s="1"/>
      <c r="G6" s="1">
        <v>5753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0.121</v>
      </c>
      <c r="F7" s="1"/>
      <c r="G7" s="1">
        <v>7152</v>
      </c>
      <c r="H7" s="9"/>
      <c r="I7" s="1">
        <v>533</v>
      </c>
      <c r="J7" s="1"/>
      <c r="K7" s="2"/>
    </row>
    <row r="8" ht="13.85" spans="1:11">
      <c r="A8" s="2">
        <v>2</v>
      </c>
      <c r="B8" s="2"/>
      <c r="C8" s="1"/>
      <c r="D8" s="1"/>
      <c r="E8" s="9">
        <v>0.151</v>
      </c>
      <c r="F8" s="1"/>
      <c r="G8" s="1">
        <v>8746</v>
      </c>
      <c r="H8" s="9"/>
      <c r="I8" s="1">
        <v>704</v>
      </c>
      <c r="J8" s="1"/>
      <c r="K8" s="2"/>
    </row>
    <row r="9" ht="13.85" spans="1:11">
      <c r="A9" s="2">
        <v>3</v>
      </c>
      <c r="B9" s="2"/>
      <c r="C9" s="1"/>
      <c r="D9" s="1"/>
      <c r="E9" s="9">
        <v>0.117</v>
      </c>
      <c r="F9" s="1"/>
      <c r="G9" s="1">
        <v>11422</v>
      </c>
      <c r="H9" s="9"/>
      <c r="I9" s="1">
        <v>749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0.115</v>
      </c>
      <c r="F10" s="1"/>
      <c r="G10" s="1">
        <v>13469</v>
      </c>
      <c r="H10" s="9"/>
      <c r="I10" s="1">
        <v>1045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0.119</v>
      </c>
      <c r="F11" s="1"/>
      <c r="G11" s="1">
        <v>16016</v>
      </c>
      <c r="H11" s="9"/>
      <c r="I11" s="1">
        <v>1349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0.121</v>
      </c>
      <c r="F12" s="1"/>
      <c r="G12" s="1">
        <v>18806</v>
      </c>
      <c r="H12" s="9"/>
      <c r="I12" s="1">
        <v>1207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0.101</v>
      </c>
      <c r="F13" s="1"/>
      <c r="G13" s="1">
        <v>21768</v>
      </c>
      <c r="H13" s="9"/>
      <c r="I13" s="1">
        <v>1335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0.108</v>
      </c>
      <c r="F14" s="1"/>
      <c r="G14" s="1">
        <v>24856</v>
      </c>
      <c r="H14" s="9"/>
      <c r="I14" s="1">
        <v>1629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0.107</v>
      </c>
      <c r="F15" s="1"/>
      <c r="G15" s="1">
        <v>27824</v>
      </c>
      <c r="H15" s="9"/>
      <c r="I15" s="1">
        <v>1636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0.066</v>
      </c>
      <c r="F16" s="1"/>
      <c r="G16" s="1">
        <v>30618</v>
      </c>
      <c r="H16" s="9"/>
      <c r="I16" s="1">
        <v>1832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0.062</v>
      </c>
      <c r="F17" s="1"/>
      <c r="G17" s="1">
        <v>34589</v>
      </c>
      <c r="H17" s="9"/>
      <c r="I17" s="1">
        <v>2065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0.033</v>
      </c>
      <c r="F18" s="1"/>
      <c r="G18" s="1">
        <v>37356</v>
      </c>
      <c r="H18" s="9"/>
      <c r="I18" s="1">
        <v>1928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0.045</v>
      </c>
      <c r="F19" s="1"/>
      <c r="G19" s="1">
        <v>39730</v>
      </c>
      <c r="H19" s="9"/>
      <c r="I19" s="1">
        <v>1907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0.01</v>
      </c>
      <c r="F20" s="1"/>
      <c r="G20" s="1">
        <v>41547</v>
      </c>
      <c r="H20" s="9"/>
      <c r="I20" s="1">
        <v>1700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0.021</v>
      </c>
      <c r="F21" s="1"/>
      <c r="G21" s="1">
        <v>42924</v>
      </c>
      <c r="H21" s="10"/>
      <c r="I21" s="1">
        <v>1873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0.003</v>
      </c>
      <c r="F22" s="1"/>
      <c r="G22" s="1">
        <v>43832</v>
      </c>
      <c r="H22" s="9"/>
      <c r="I22" s="1">
        <v>1208</v>
      </c>
      <c r="J22" s="1"/>
      <c r="K22" s="2"/>
    </row>
    <row r="23" ht="13.85" spans="1:11">
      <c r="A23" s="2">
        <v>17</v>
      </c>
      <c r="B23" s="2"/>
      <c r="C23" s="1"/>
      <c r="D23" s="1"/>
      <c r="E23" s="11"/>
      <c r="F23" s="1"/>
      <c r="G23" s="12"/>
      <c r="H23" s="9"/>
      <c r="I23" s="1"/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workbookViewId="0">
      <selection activeCell="I24" sqref="I24"/>
    </sheetView>
  </sheetViews>
  <sheetFormatPr defaultColWidth="9.02654867256637" defaultRowHeight="12.75"/>
  <sheetData>
    <row r="2" ht="13.85" spans="1:8">
      <c r="A2" s="1" t="s">
        <v>183</v>
      </c>
      <c r="B2" s="1">
        <v>2656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0.186</v>
      </c>
      <c r="F6" s="1"/>
      <c r="G6" s="1">
        <v>6041</v>
      </c>
      <c r="H6" s="1"/>
      <c r="I6" s="15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0.17</v>
      </c>
      <c r="F7" s="1"/>
      <c r="G7" s="1">
        <v>7023</v>
      </c>
      <c r="H7" s="9"/>
      <c r="I7" s="1">
        <v>379</v>
      </c>
      <c r="J7" s="1"/>
      <c r="K7" s="2"/>
    </row>
    <row r="8" ht="13.85" spans="1:11">
      <c r="A8" s="2">
        <v>2</v>
      </c>
      <c r="B8" s="2"/>
      <c r="C8" s="1"/>
      <c r="D8" s="1"/>
      <c r="E8" s="9">
        <v>0.15</v>
      </c>
      <c r="F8" s="1"/>
      <c r="G8" s="1">
        <v>8300</v>
      </c>
      <c r="H8" s="9"/>
      <c r="I8" s="1">
        <v>644</v>
      </c>
      <c r="J8" s="1"/>
      <c r="K8" s="2"/>
    </row>
    <row r="9" ht="13.85" spans="1:11">
      <c r="A9" s="2">
        <v>3</v>
      </c>
      <c r="B9" s="2"/>
      <c r="C9" s="1"/>
      <c r="D9" s="1"/>
      <c r="E9" s="9">
        <v>0.157</v>
      </c>
      <c r="F9" s="1"/>
      <c r="G9" s="1">
        <v>11462</v>
      </c>
      <c r="H9" s="9"/>
      <c r="I9" s="1">
        <v>764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0.106</v>
      </c>
      <c r="F10" s="1"/>
      <c r="G10" s="1">
        <v>13724</v>
      </c>
      <c r="H10" s="9"/>
      <c r="I10" s="1">
        <v>893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0.11</v>
      </c>
      <c r="F11" s="1"/>
      <c r="G11" s="1">
        <v>16151</v>
      </c>
      <c r="H11" s="9"/>
      <c r="I11" s="1">
        <v>1221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0.101</v>
      </c>
      <c r="F12" s="1"/>
      <c r="G12" s="1">
        <v>18291</v>
      </c>
      <c r="H12" s="9"/>
      <c r="I12" s="1">
        <v>1202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0.055</v>
      </c>
      <c r="F13" s="1"/>
      <c r="G13" s="1">
        <v>21093</v>
      </c>
      <c r="H13" s="9"/>
      <c r="I13" s="1">
        <v>1278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0.059</v>
      </c>
      <c r="F14" s="1"/>
      <c r="G14" s="1">
        <v>24200</v>
      </c>
      <c r="H14" s="9"/>
      <c r="I14" s="1">
        <v>1728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0.14</v>
      </c>
      <c r="F15" s="1"/>
      <c r="G15" s="1">
        <v>26247</v>
      </c>
      <c r="H15" s="9"/>
      <c r="I15" s="1">
        <v>1448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0.083</v>
      </c>
      <c r="F16" s="1"/>
      <c r="G16" s="1">
        <v>28483</v>
      </c>
      <c r="H16" s="9"/>
      <c r="I16" s="1">
        <v>1302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0.09</v>
      </c>
      <c r="F17" s="1"/>
      <c r="G17" s="1">
        <v>31225</v>
      </c>
      <c r="H17" s="9"/>
      <c r="I17" s="1">
        <v>1475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0.067</v>
      </c>
      <c r="F18" s="1"/>
      <c r="G18" s="1">
        <v>33481</v>
      </c>
      <c r="H18" s="9"/>
      <c r="I18" s="1">
        <v>1496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0.037</v>
      </c>
      <c r="F19" s="1"/>
      <c r="G19" s="1">
        <v>36047</v>
      </c>
      <c r="H19" s="9"/>
      <c r="I19" s="1">
        <v>1587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0.034</v>
      </c>
      <c r="F20" s="1"/>
      <c r="G20" s="1">
        <v>38793</v>
      </c>
      <c r="H20" s="9"/>
      <c r="I20" s="1">
        <v>1649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0.022</v>
      </c>
      <c r="F21" s="1"/>
      <c r="G21" s="1">
        <v>40641</v>
      </c>
      <c r="H21" s="10"/>
      <c r="I21" s="1">
        <v>1661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0.033</v>
      </c>
      <c r="F22" s="1"/>
      <c r="G22" s="1">
        <v>42286</v>
      </c>
      <c r="H22" s="9"/>
      <c r="I22" s="1">
        <v>1759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0.015</v>
      </c>
      <c r="F23" s="1"/>
      <c r="G23" s="12">
        <v>43478</v>
      </c>
      <c r="H23" s="9"/>
      <c r="I23" s="1">
        <v>1524</v>
      </c>
      <c r="J23" s="1"/>
      <c r="K23" s="2"/>
    </row>
    <row r="24" spans="1:11">
      <c r="A24" s="2">
        <v>18</v>
      </c>
      <c r="B24" s="13"/>
      <c r="C24" s="13"/>
      <c r="D24" s="13"/>
      <c r="E24" s="2">
        <v>0.01</v>
      </c>
      <c r="F24" s="2"/>
      <c r="G24" s="2">
        <v>43955</v>
      </c>
      <c r="H24" s="2"/>
      <c r="I24" s="2">
        <v>690</v>
      </c>
      <c r="J24" s="13"/>
      <c r="K24" s="13"/>
    </row>
    <row r="25" spans="1:11">
      <c r="A25" s="2">
        <v>19</v>
      </c>
      <c r="B25" s="13"/>
      <c r="C25" s="13"/>
      <c r="D25" s="13"/>
      <c r="E25" s="2"/>
      <c r="F25" s="2"/>
      <c r="G25" s="2"/>
      <c r="H25" s="2"/>
      <c r="I25" s="2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J28" sqref="J28"/>
    </sheetView>
  </sheetViews>
  <sheetFormatPr defaultColWidth="9.02654867256637" defaultRowHeight="12.75"/>
  <sheetData>
    <row r="2" ht="13.85" spans="1:8">
      <c r="A2" s="1" t="s">
        <v>183</v>
      </c>
      <c r="B2" s="1">
        <v>2660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0.211</v>
      </c>
      <c r="F6" s="1"/>
      <c r="G6" s="1">
        <v>5632</v>
      </c>
      <c r="H6" s="1"/>
      <c r="I6" s="15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0.227</v>
      </c>
      <c r="F7" s="1"/>
      <c r="G7" s="1">
        <v>6188</v>
      </c>
      <c r="H7" s="9"/>
      <c r="I7" s="1">
        <v>528</v>
      </c>
      <c r="J7" s="1"/>
      <c r="K7" s="2"/>
    </row>
    <row r="8" ht="13.85" spans="1:11">
      <c r="A8" s="2">
        <v>2</v>
      </c>
      <c r="B8" s="2"/>
      <c r="C8" s="1"/>
      <c r="D8" s="1"/>
      <c r="E8" s="9">
        <v>0.155</v>
      </c>
      <c r="F8" s="1"/>
      <c r="G8" s="1">
        <v>6907</v>
      </c>
      <c r="H8" s="9"/>
      <c r="I8" s="1">
        <v>540</v>
      </c>
      <c r="J8" s="1"/>
      <c r="K8" s="2"/>
    </row>
    <row r="9" ht="13.85" spans="1:11">
      <c r="A9" s="2">
        <v>3</v>
      </c>
      <c r="B9" s="2"/>
      <c r="C9" s="1"/>
      <c r="D9" s="1"/>
      <c r="E9" s="9">
        <v>0.1</v>
      </c>
      <c r="F9" s="1"/>
      <c r="G9" s="1">
        <v>10683</v>
      </c>
      <c r="H9" s="9"/>
      <c r="I9" s="1">
        <v>705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0.078</v>
      </c>
      <c r="F10" s="1"/>
      <c r="G10" s="1">
        <v>14134</v>
      </c>
      <c r="H10" s="9"/>
      <c r="I10" s="1">
        <v>1033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0.067</v>
      </c>
      <c r="F11" s="1"/>
      <c r="G11" s="1">
        <v>16826</v>
      </c>
      <c r="H11" s="9"/>
      <c r="I11" s="1">
        <v>1246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0.136</v>
      </c>
      <c r="F12" s="1"/>
      <c r="G12" s="1">
        <v>18870</v>
      </c>
      <c r="H12" s="9"/>
      <c r="I12" s="1">
        <v>1230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0.174</v>
      </c>
      <c r="F13" s="1"/>
      <c r="G13" s="1">
        <v>21416</v>
      </c>
      <c r="H13" s="9"/>
      <c r="I13" s="1">
        <v>1156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0.145</v>
      </c>
      <c r="F14" s="1"/>
      <c r="G14" s="1">
        <v>23803</v>
      </c>
      <c r="H14" s="9"/>
      <c r="I14" s="1">
        <v>1197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0.167</v>
      </c>
      <c r="F15" s="1"/>
      <c r="G15" s="1">
        <v>25538</v>
      </c>
      <c r="H15" s="9"/>
      <c r="I15" s="1">
        <v>1297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0.109</v>
      </c>
      <c r="F16" s="1"/>
      <c r="G16" s="1">
        <v>26888</v>
      </c>
      <c r="H16" s="9"/>
      <c r="I16" s="1">
        <v>1064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0.067</v>
      </c>
      <c r="F17" s="1"/>
      <c r="G17" s="1">
        <v>29969</v>
      </c>
      <c r="H17" s="9"/>
      <c r="I17" s="1">
        <v>1285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0.048</v>
      </c>
      <c r="F18" s="1"/>
      <c r="G18" s="1">
        <v>32776</v>
      </c>
      <c r="H18" s="9"/>
      <c r="I18" s="1">
        <v>1459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0.061</v>
      </c>
      <c r="F19" s="1"/>
      <c r="G19" s="1">
        <v>34551</v>
      </c>
      <c r="H19" s="9"/>
      <c r="I19" s="1">
        <v>1452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0.05</v>
      </c>
      <c r="F20" s="1"/>
      <c r="G20" s="1">
        <v>36445</v>
      </c>
      <c r="H20" s="9"/>
      <c r="I20" s="1">
        <v>1592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0.038</v>
      </c>
      <c r="F21" s="1"/>
      <c r="G21" s="1">
        <v>39438</v>
      </c>
      <c r="H21" s="10"/>
      <c r="I21" s="1">
        <v>1552</v>
      </c>
      <c r="J21" s="1"/>
      <c r="K21" s="2"/>
    </row>
    <row r="22" ht="13.85" spans="1:11">
      <c r="A22" s="2">
        <v>16</v>
      </c>
      <c r="B22" s="2"/>
      <c r="C22" s="1"/>
      <c r="D22" s="1"/>
      <c r="E22" s="11">
        <v>0.053</v>
      </c>
      <c r="F22" s="1"/>
      <c r="G22" s="1">
        <v>40651</v>
      </c>
      <c r="H22" s="9"/>
      <c r="I22" s="1">
        <v>1506</v>
      </c>
      <c r="J22" s="1"/>
      <c r="K22" s="2"/>
    </row>
    <row r="23" ht="13.85" spans="1:11">
      <c r="A23" s="2">
        <v>17</v>
      </c>
      <c r="B23" s="2"/>
      <c r="C23" s="1"/>
      <c r="D23" s="1"/>
      <c r="E23" s="2">
        <v>0.05</v>
      </c>
      <c r="F23" s="1"/>
      <c r="G23" s="12">
        <v>41766</v>
      </c>
      <c r="H23" s="9"/>
      <c r="I23" s="1">
        <v>1471</v>
      </c>
      <c r="J23" s="1"/>
      <c r="K23" s="2"/>
    </row>
    <row r="24" spans="1:11">
      <c r="A24" s="2">
        <v>18</v>
      </c>
      <c r="B24" s="13"/>
      <c r="C24" s="13"/>
      <c r="D24" s="13"/>
      <c r="E24" s="2">
        <v>0.036</v>
      </c>
      <c r="F24" s="2"/>
      <c r="G24" s="2">
        <v>42920</v>
      </c>
      <c r="H24" s="2"/>
      <c r="I24" s="2">
        <v>1534</v>
      </c>
      <c r="J24" s="13"/>
      <c r="K24" s="13"/>
    </row>
    <row r="25" spans="1:11">
      <c r="A25" s="2">
        <v>19</v>
      </c>
      <c r="B25" s="13"/>
      <c r="C25" s="13"/>
      <c r="D25" s="13"/>
      <c r="E25" s="2">
        <v>0.006</v>
      </c>
      <c r="F25" s="2"/>
      <c r="G25" s="2">
        <v>43690</v>
      </c>
      <c r="H25" s="2"/>
      <c r="I25" s="2">
        <v>853</v>
      </c>
      <c r="J25" s="13"/>
      <c r="K25" s="13"/>
    </row>
    <row r="26" spans="1:11">
      <c r="A26" s="2">
        <v>20</v>
      </c>
      <c r="B26" s="13"/>
      <c r="C26" s="13"/>
      <c r="D26" s="13"/>
      <c r="F26" s="2"/>
      <c r="G26" s="2"/>
      <c r="H26" s="2"/>
      <c r="I26" s="2"/>
      <c r="J26" s="13"/>
      <c r="K26" s="13"/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workbookViewId="0">
      <selection activeCell="F28" sqref="F28"/>
    </sheetView>
  </sheetViews>
  <sheetFormatPr defaultColWidth="9.02654867256637" defaultRowHeight="12.75"/>
  <sheetData>
    <row r="2" ht="13.85" spans="1:8">
      <c r="A2" s="1" t="s">
        <v>183</v>
      </c>
      <c r="B2" s="1">
        <v>2678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0.161</v>
      </c>
      <c r="F6" s="1"/>
      <c r="G6" s="1">
        <v>6241</v>
      </c>
      <c r="H6" s="1"/>
      <c r="J6" s="1">
        <v>200</v>
      </c>
      <c r="K6" s="13"/>
    </row>
    <row r="7" ht="13.85" spans="1:11">
      <c r="A7" s="2">
        <v>1</v>
      </c>
      <c r="B7" s="2"/>
      <c r="C7" s="1"/>
      <c r="D7" s="1"/>
      <c r="E7" s="9">
        <v>0.12</v>
      </c>
      <c r="F7" s="1"/>
      <c r="G7" s="1">
        <v>7088</v>
      </c>
      <c r="H7" s="9"/>
      <c r="I7" s="1">
        <v>442</v>
      </c>
      <c r="J7" s="1"/>
      <c r="K7" s="2"/>
    </row>
    <row r="8" ht="13.85" spans="1:11">
      <c r="A8" s="2">
        <v>2</v>
      </c>
      <c r="B8" s="2"/>
      <c r="C8" s="1"/>
      <c r="D8" s="1"/>
      <c r="E8" s="9">
        <v>0.114</v>
      </c>
      <c r="F8" s="1"/>
      <c r="G8" s="1">
        <v>8379</v>
      </c>
      <c r="H8" s="9"/>
      <c r="I8" s="1">
        <v>617</v>
      </c>
      <c r="J8" s="1"/>
      <c r="K8" s="2"/>
    </row>
    <row r="9" ht="13.85" spans="1:11">
      <c r="A9" s="2">
        <v>3</v>
      </c>
      <c r="B9" s="2"/>
      <c r="C9" s="1"/>
      <c r="D9" s="1"/>
      <c r="E9" s="9">
        <v>0.105</v>
      </c>
      <c r="F9" s="1"/>
      <c r="G9" s="1">
        <v>11144</v>
      </c>
      <c r="H9" s="9"/>
      <c r="I9" s="1">
        <v>743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0.089</v>
      </c>
      <c r="F10" s="1"/>
      <c r="G10" s="1">
        <v>13717</v>
      </c>
      <c r="H10" s="9"/>
      <c r="I10" s="1">
        <v>970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0.041</v>
      </c>
      <c r="F11" s="1"/>
      <c r="G11" s="1">
        <v>16234</v>
      </c>
      <c r="H11" s="9"/>
      <c r="I11" s="1">
        <v>1177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0.071</v>
      </c>
      <c r="F12" s="1"/>
      <c r="G12" s="1">
        <v>19334</v>
      </c>
      <c r="H12" s="9"/>
      <c r="I12" s="1">
        <v>1082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0.064</v>
      </c>
      <c r="F13" s="1"/>
      <c r="G13" s="1">
        <v>21868</v>
      </c>
      <c r="H13" s="9"/>
      <c r="I13" s="1">
        <v>1490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0.057</v>
      </c>
      <c r="F14" s="1"/>
      <c r="G14" s="1">
        <v>24952</v>
      </c>
      <c r="H14" s="9"/>
      <c r="I14" s="1">
        <v>1600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0.048</v>
      </c>
      <c r="F15" s="1"/>
      <c r="G15" s="1">
        <v>28124</v>
      </c>
      <c r="H15" s="9"/>
      <c r="I15" s="1">
        <v>1718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0.046</v>
      </c>
      <c r="F16" s="1"/>
      <c r="G16" s="1">
        <v>31008</v>
      </c>
      <c r="H16" s="9"/>
      <c r="I16" s="1">
        <v>1600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0.066</v>
      </c>
      <c r="F17" s="1"/>
      <c r="G17" s="1">
        <v>33821</v>
      </c>
      <c r="H17" s="9"/>
      <c r="I17" s="1">
        <v>1700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0.071</v>
      </c>
      <c r="F18" s="1"/>
      <c r="G18" s="1">
        <v>36362</v>
      </c>
      <c r="H18" s="9"/>
      <c r="I18" s="1">
        <v>1788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0.095</v>
      </c>
      <c r="F19" s="1"/>
      <c r="G19" s="1">
        <v>38448</v>
      </c>
      <c r="H19" s="9"/>
      <c r="I19" s="1">
        <v>1711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0.068</v>
      </c>
      <c r="F20" s="1"/>
      <c r="G20" s="1">
        <v>40507</v>
      </c>
      <c r="H20" s="9"/>
      <c r="I20" s="1">
        <v>1668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0.031</v>
      </c>
      <c r="F21" s="1"/>
      <c r="G21" s="1">
        <v>42100</v>
      </c>
      <c r="H21" s="10"/>
      <c r="I21" s="1">
        <v>1803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0.089</v>
      </c>
      <c r="F22" s="1"/>
      <c r="G22" s="1">
        <v>43129</v>
      </c>
      <c r="H22" s="9"/>
      <c r="I22" s="1">
        <v>1725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0.01</v>
      </c>
      <c r="F23" s="1"/>
      <c r="G23" s="12">
        <v>44370</v>
      </c>
      <c r="H23" s="9"/>
      <c r="I23" s="1">
        <v>966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workbookViewId="0">
      <selection activeCell="B3" sqref="B3"/>
    </sheetView>
  </sheetViews>
  <sheetFormatPr defaultColWidth="9.02654867256637" defaultRowHeight="12.75"/>
  <sheetData>
    <row r="2" ht="13.85" spans="1:8">
      <c r="A2" s="1" t="s">
        <v>183</v>
      </c>
      <c r="B2" s="1">
        <v>2662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0.183</v>
      </c>
      <c r="F6" s="1"/>
      <c r="G6" s="1">
        <v>5850</v>
      </c>
      <c r="H6" s="1"/>
      <c r="I6" s="15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0.169</v>
      </c>
      <c r="F7" s="1"/>
      <c r="G7" s="1">
        <v>6878</v>
      </c>
      <c r="H7" s="9"/>
      <c r="I7" s="1">
        <v>623</v>
      </c>
      <c r="J7" s="1"/>
      <c r="K7" s="2"/>
    </row>
    <row r="8" ht="13.85" spans="1:11">
      <c r="A8" s="2">
        <v>2</v>
      </c>
      <c r="B8" s="2"/>
      <c r="C8" s="1"/>
      <c r="D8" s="1"/>
      <c r="E8" s="9">
        <v>0.096</v>
      </c>
      <c r="F8" s="1"/>
      <c r="G8" s="1">
        <v>8298</v>
      </c>
      <c r="H8" s="9"/>
      <c r="I8" s="1">
        <v>570</v>
      </c>
      <c r="J8" s="1"/>
      <c r="K8" s="2"/>
    </row>
    <row r="9" ht="13.85" spans="1:11">
      <c r="A9" s="2">
        <v>3</v>
      </c>
      <c r="B9" s="2"/>
      <c r="C9" s="1"/>
      <c r="D9" s="1"/>
      <c r="E9" s="9">
        <v>0.122</v>
      </c>
      <c r="F9" s="1"/>
      <c r="G9" s="1">
        <v>11267</v>
      </c>
      <c r="H9" s="9"/>
      <c r="I9" s="1">
        <v>876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0.087</v>
      </c>
      <c r="F10" s="1"/>
      <c r="G10" s="1">
        <v>13740</v>
      </c>
      <c r="H10" s="9"/>
      <c r="I10" s="1">
        <v>882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0.108</v>
      </c>
      <c r="F11" s="1"/>
      <c r="G11" s="1">
        <v>16695</v>
      </c>
      <c r="H11" s="9"/>
      <c r="I11" s="1">
        <v>1219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0.091</v>
      </c>
      <c r="F12" s="1"/>
      <c r="G12" s="1">
        <v>19777</v>
      </c>
      <c r="H12" s="9"/>
      <c r="I12" s="1">
        <v>1339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0.044</v>
      </c>
      <c r="F13" s="1"/>
      <c r="G13" s="1">
        <v>22700</v>
      </c>
      <c r="H13" s="9"/>
      <c r="I13" s="1">
        <v>1389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0.105</v>
      </c>
      <c r="F14" s="1"/>
      <c r="G14" s="1">
        <v>25272</v>
      </c>
      <c r="H14" s="9"/>
      <c r="I14" s="1">
        <v>1511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0.08</v>
      </c>
      <c r="F15" s="1"/>
      <c r="G15" s="1">
        <v>26093</v>
      </c>
      <c r="H15" s="9"/>
      <c r="I15" s="1">
        <v>1350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0.06</v>
      </c>
      <c r="F16" s="1"/>
      <c r="G16" s="1">
        <v>27984</v>
      </c>
      <c r="H16" s="9"/>
      <c r="I16" s="1">
        <v>1505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0.061</v>
      </c>
      <c r="F17" s="1"/>
      <c r="G17" s="1">
        <v>31725</v>
      </c>
      <c r="H17" s="9"/>
      <c r="I17" s="1">
        <v>1706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0.068</v>
      </c>
      <c r="F18" s="1"/>
      <c r="G18" s="1">
        <v>35559</v>
      </c>
      <c r="H18" s="9"/>
      <c r="I18" s="1">
        <v>1777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0.065</v>
      </c>
      <c r="F19" s="1"/>
      <c r="G19" s="1">
        <v>38675</v>
      </c>
      <c r="H19" s="9"/>
      <c r="I19" s="1">
        <v>1707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0.069</v>
      </c>
      <c r="F20" s="1"/>
      <c r="G20" s="1">
        <v>40909</v>
      </c>
      <c r="H20" s="9"/>
      <c r="I20" s="1">
        <v>1746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0.053</v>
      </c>
      <c r="F21" s="1"/>
      <c r="G21" s="1">
        <v>42136</v>
      </c>
      <c r="H21" s="10"/>
      <c r="I21" s="1">
        <v>1632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0.046</v>
      </c>
      <c r="F22" s="1"/>
      <c r="G22" s="1">
        <v>43216</v>
      </c>
      <c r="H22" s="9"/>
      <c r="I22" s="1">
        <v>1661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0.021</v>
      </c>
      <c r="F23" s="1"/>
      <c r="G23" s="12">
        <v>44335</v>
      </c>
      <c r="H23" s="9"/>
      <c r="I23" s="1">
        <v>995</v>
      </c>
      <c r="J23" s="1"/>
      <c r="K23" s="2"/>
    </row>
    <row r="24" spans="1:11">
      <c r="A24" s="2">
        <v>18</v>
      </c>
      <c r="B24" s="13"/>
      <c r="C24" s="13"/>
      <c r="D24" s="13"/>
      <c r="E24" s="2">
        <v>0.009</v>
      </c>
      <c r="F24" s="2"/>
      <c r="G24" s="2">
        <v>44600</v>
      </c>
      <c r="H24" s="2"/>
      <c r="I24" s="2">
        <v>218</v>
      </c>
      <c r="J24" s="2"/>
      <c r="K24" s="13"/>
    </row>
    <row r="25" spans="1:11">
      <c r="A25" s="2">
        <v>19</v>
      </c>
      <c r="B25" s="13"/>
      <c r="C25" s="13"/>
      <c r="D25" s="13"/>
      <c r="E25" s="2"/>
      <c r="F25" s="2"/>
      <c r="G25" s="2"/>
      <c r="H25" s="2"/>
      <c r="I25" s="2"/>
      <c r="J25" s="2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H27" sqref="H27"/>
    </sheetView>
  </sheetViews>
  <sheetFormatPr defaultColWidth="9.02654867256637" defaultRowHeight="12.75"/>
  <sheetData>
    <row r="2" ht="13.85" spans="1:8">
      <c r="A2" s="1" t="s">
        <v>183</v>
      </c>
      <c r="B2" s="1">
        <v>2680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0.16</v>
      </c>
      <c r="F6" s="1"/>
      <c r="G6" s="1">
        <v>5841</v>
      </c>
      <c r="H6" s="1"/>
      <c r="J6" s="1">
        <v>200</v>
      </c>
      <c r="K6" s="13"/>
    </row>
    <row r="7" ht="13.85" spans="1:11">
      <c r="A7" s="2">
        <v>1</v>
      </c>
      <c r="B7" s="2"/>
      <c r="C7" s="1"/>
      <c r="D7" s="1"/>
      <c r="E7" s="9">
        <v>0.15</v>
      </c>
      <c r="F7" s="1"/>
      <c r="G7" s="1">
        <v>6802</v>
      </c>
      <c r="H7" s="9"/>
      <c r="I7" s="1">
        <v>609</v>
      </c>
      <c r="J7" s="1"/>
      <c r="K7" s="2"/>
    </row>
    <row r="8" ht="13.85" spans="1:11">
      <c r="A8" s="2">
        <v>2</v>
      </c>
      <c r="B8" s="2"/>
      <c r="C8" s="1"/>
      <c r="D8" s="1"/>
      <c r="E8" s="9">
        <v>0.155</v>
      </c>
      <c r="F8" s="1"/>
      <c r="G8" s="1">
        <v>8034</v>
      </c>
      <c r="H8" s="9"/>
      <c r="I8" s="1">
        <v>661</v>
      </c>
      <c r="J8" s="1"/>
      <c r="K8" s="2"/>
    </row>
    <row r="9" ht="13.85" spans="1:11">
      <c r="A9" s="2">
        <v>3</v>
      </c>
      <c r="B9" s="2"/>
      <c r="C9" s="1"/>
      <c r="D9" s="1"/>
      <c r="E9" s="9">
        <v>0.137</v>
      </c>
      <c r="F9" s="1"/>
      <c r="G9" s="1">
        <v>10879</v>
      </c>
      <c r="H9" s="9"/>
      <c r="I9" s="1">
        <v>776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0.109</v>
      </c>
      <c r="F10" s="1"/>
      <c r="G10" s="1">
        <v>13151</v>
      </c>
      <c r="H10" s="9"/>
      <c r="I10" s="1">
        <v>1093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0.099</v>
      </c>
      <c r="F11" s="1"/>
      <c r="G11" s="1">
        <v>15400</v>
      </c>
      <c r="H11" s="9"/>
      <c r="I11" s="1">
        <v>1212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0.159</v>
      </c>
      <c r="F12" s="1"/>
      <c r="G12" s="1">
        <v>17888</v>
      </c>
      <c r="H12" s="9"/>
      <c r="I12" s="1">
        <v>1179</v>
      </c>
      <c r="J12" s="1"/>
      <c r="K12" s="2"/>
    </row>
    <row r="13" ht="13.85" spans="1:11">
      <c r="A13" s="2">
        <v>7</v>
      </c>
      <c r="B13" s="2"/>
      <c r="C13" s="1"/>
      <c r="D13" s="1"/>
      <c r="E13" s="20">
        <v>0.12</v>
      </c>
      <c r="F13" s="1"/>
      <c r="G13" s="1">
        <v>20710</v>
      </c>
      <c r="H13" s="9"/>
      <c r="I13" s="1">
        <v>1204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0.115</v>
      </c>
      <c r="F14" s="1"/>
      <c r="G14" s="1">
        <v>23731</v>
      </c>
      <c r="H14" s="9"/>
      <c r="I14" s="1">
        <v>1334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0.106</v>
      </c>
      <c r="F15" s="1"/>
      <c r="G15" s="1">
        <v>26425</v>
      </c>
      <c r="H15" s="9"/>
      <c r="I15" s="1">
        <v>1402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0.094</v>
      </c>
      <c r="F16" s="1"/>
      <c r="G16" s="1">
        <v>28896</v>
      </c>
      <c r="H16" s="9"/>
      <c r="I16" s="1">
        <v>1411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0.095</v>
      </c>
      <c r="F17" s="1"/>
      <c r="G17" s="1">
        <v>31765</v>
      </c>
      <c r="H17" s="9"/>
      <c r="I17" s="1">
        <v>1552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0.083</v>
      </c>
      <c r="F18" s="1"/>
      <c r="G18" s="1">
        <v>36208</v>
      </c>
      <c r="H18" s="9"/>
      <c r="I18" s="1">
        <v>1777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0.055</v>
      </c>
      <c r="F19" s="1"/>
      <c r="G19" s="1">
        <v>38142</v>
      </c>
      <c r="H19" s="9"/>
      <c r="I19" s="1">
        <v>1700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0.027</v>
      </c>
      <c r="F20" s="1"/>
      <c r="G20" s="1">
        <v>39867</v>
      </c>
      <c r="H20" s="9"/>
      <c r="I20" s="1">
        <v>1786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0.029</v>
      </c>
      <c r="F21" s="1"/>
      <c r="G21" s="1">
        <v>41978</v>
      </c>
      <c r="H21" s="10"/>
      <c r="I21" s="1">
        <v>1881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0.027</v>
      </c>
      <c r="F22" s="1"/>
      <c r="G22" s="1">
        <v>43594</v>
      </c>
      <c r="H22" s="9"/>
      <c r="I22" s="1">
        <v>1769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0.01</v>
      </c>
      <c r="F23" s="1"/>
      <c r="G23" s="12">
        <v>44281</v>
      </c>
      <c r="H23" s="9"/>
      <c r="I23" s="1">
        <v>1235</v>
      </c>
      <c r="J23" s="1"/>
      <c r="K23" s="2"/>
    </row>
    <row r="24" spans="1:11">
      <c r="A24" s="2">
        <v>18</v>
      </c>
      <c r="B24" s="13"/>
      <c r="C24" s="13"/>
      <c r="D24" s="13"/>
      <c r="E24" s="2">
        <v>0.022</v>
      </c>
      <c r="F24" s="2"/>
      <c r="G24" s="2">
        <v>44999</v>
      </c>
      <c r="H24" s="2"/>
      <c r="I24" s="2">
        <v>319</v>
      </c>
      <c r="J24" s="13"/>
      <c r="K24" s="13"/>
    </row>
    <row r="25" spans="1:11">
      <c r="A25" s="2">
        <v>19</v>
      </c>
      <c r="B25" s="13"/>
      <c r="C25" s="13"/>
      <c r="D25" s="13"/>
      <c r="E25" s="2"/>
      <c r="F25" s="2"/>
      <c r="G25" s="2"/>
      <c r="H25" s="2"/>
      <c r="I25" s="2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I29" sqref="I29"/>
    </sheetView>
  </sheetViews>
  <sheetFormatPr defaultColWidth="9.02654867256637" defaultRowHeight="12.75"/>
  <sheetData>
    <row r="2" ht="13.85" spans="1:8">
      <c r="A2" s="1" t="s">
        <v>183</v>
      </c>
      <c r="B2" s="1">
        <v>2679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0.105</v>
      </c>
      <c r="F6" s="1"/>
      <c r="G6" s="1">
        <v>5821</v>
      </c>
      <c r="H6" s="1"/>
      <c r="J6" s="1">
        <v>200</v>
      </c>
      <c r="K6" s="13"/>
    </row>
    <row r="7" ht="13.85" spans="1:11">
      <c r="A7" s="2">
        <v>1</v>
      </c>
      <c r="B7" s="2"/>
      <c r="C7" s="1"/>
      <c r="D7" s="1"/>
      <c r="E7" s="9">
        <v>0.117</v>
      </c>
      <c r="F7" s="1"/>
      <c r="G7" s="1">
        <v>6934</v>
      </c>
      <c r="H7" s="9"/>
      <c r="I7" s="1">
        <v>593</v>
      </c>
      <c r="J7" s="1"/>
      <c r="K7" s="2"/>
    </row>
    <row r="8" ht="13.85" spans="1:11">
      <c r="A8" s="2">
        <v>2</v>
      </c>
      <c r="B8" s="2"/>
      <c r="C8" s="1"/>
      <c r="D8" s="1"/>
      <c r="E8" s="9">
        <v>0.112</v>
      </c>
      <c r="F8" s="1"/>
      <c r="G8" s="1">
        <v>7981</v>
      </c>
      <c r="H8" s="9"/>
      <c r="I8" s="1">
        <v>638</v>
      </c>
      <c r="J8" s="1"/>
      <c r="K8" s="2"/>
    </row>
    <row r="9" ht="13.85" spans="1:11">
      <c r="A9" s="2">
        <v>3</v>
      </c>
      <c r="B9" s="2"/>
      <c r="C9" s="1"/>
      <c r="D9" s="1"/>
      <c r="E9" s="9">
        <v>0.079</v>
      </c>
      <c r="F9" s="1"/>
      <c r="G9" s="1">
        <v>11798</v>
      </c>
      <c r="H9" s="9"/>
      <c r="I9" s="1">
        <v>777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0.079</v>
      </c>
      <c r="F10" s="1"/>
      <c r="G10" s="1">
        <v>14550</v>
      </c>
      <c r="H10" s="9"/>
      <c r="I10" s="1">
        <v>1026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0.067</v>
      </c>
      <c r="F11" s="1"/>
      <c r="G11" s="1">
        <v>16932</v>
      </c>
      <c r="H11" s="9"/>
      <c r="I11" s="1">
        <v>1180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0.076</v>
      </c>
      <c r="F12" s="1"/>
      <c r="G12" s="1">
        <v>18110</v>
      </c>
      <c r="H12" s="9"/>
      <c r="I12" s="1">
        <v>1439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0.114</v>
      </c>
      <c r="F13" s="1"/>
      <c r="G13" s="1">
        <v>22655</v>
      </c>
      <c r="H13" s="9"/>
      <c r="I13" s="1">
        <v>1508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0.112</v>
      </c>
      <c r="F14" s="1"/>
      <c r="G14" s="1">
        <v>25087</v>
      </c>
      <c r="H14" s="9"/>
      <c r="I14" s="1">
        <v>1506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0.08</v>
      </c>
      <c r="F15" s="1"/>
      <c r="G15" s="1">
        <v>28128</v>
      </c>
      <c r="H15" s="9"/>
      <c r="I15" s="1">
        <v>1497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0.033</v>
      </c>
      <c r="F16" s="1"/>
      <c r="G16" s="1">
        <v>31486</v>
      </c>
      <c r="H16" s="9"/>
      <c r="I16" s="1">
        <v>1676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0.033</v>
      </c>
      <c r="F17" s="1"/>
      <c r="G17" s="1">
        <v>34000</v>
      </c>
      <c r="H17" s="9"/>
      <c r="I17" s="1">
        <v>1624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0.032</v>
      </c>
      <c r="F18" s="1"/>
      <c r="G18" s="1">
        <v>37816</v>
      </c>
      <c r="H18" s="9"/>
      <c r="I18" s="1">
        <v>1851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0.034</v>
      </c>
      <c r="F19" s="1"/>
      <c r="G19" s="1">
        <v>39409</v>
      </c>
      <c r="H19" s="9"/>
      <c r="I19" s="1">
        <v>1842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0.022</v>
      </c>
      <c r="F20" s="1"/>
      <c r="G20" s="1">
        <v>41262</v>
      </c>
      <c r="H20" s="9"/>
      <c r="I20" s="1">
        <v>1709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0.023</v>
      </c>
      <c r="F21" s="1"/>
      <c r="G21" s="1">
        <v>43001</v>
      </c>
      <c r="H21" s="10"/>
      <c r="I21" s="1">
        <v>1883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0.018</v>
      </c>
      <c r="F22" s="1"/>
      <c r="G22" s="1">
        <v>44490</v>
      </c>
      <c r="H22" s="9"/>
      <c r="I22" s="1">
        <v>1509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0.02</v>
      </c>
      <c r="F23" s="1"/>
      <c r="G23" s="12">
        <v>44910</v>
      </c>
      <c r="H23" s="9"/>
      <c r="I23" s="1">
        <v>542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N14" sqref="N14"/>
    </sheetView>
  </sheetViews>
  <sheetFormatPr defaultColWidth="9.02654867256637" defaultRowHeight="12.75"/>
  <sheetData>
    <row r="2" ht="13.85" spans="1:8">
      <c r="A2" s="1" t="s">
        <v>183</v>
      </c>
      <c r="B2" s="1">
        <v>2682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0.137</v>
      </c>
      <c r="F6" s="1"/>
      <c r="G6" s="1">
        <v>5587</v>
      </c>
      <c r="H6" s="1"/>
      <c r="J6" s="1">
        <v>200</v>
      </c>
      <c r="K6" s="13"/>
    </row>
    <row r="7" ht="13.85" spans="1:11">
      <c r="A7" s="2">
        <v>1</v>
      </c>
      <c r="B7" s="2"/>
      <c r="C7" s="1"/>
      <c r="D7" s="1"/>
      <c r="E7" s="9">
        <v>0.132</v>
      </c>
      <c r="F7" s="1"/>
      <c r="G7" s="1">
        <v>6321</v>
      </c>
      <c r="H7" s="9"/>
      <c r="I7" s="1">
        <v>544</v>
      </c>
      <c r="J7" s="1"/>
      <c r="K7" s="2"/>
    </row>
    <row r="8" ht="13.85" spans="1:11">
      <c r="A8" s="2">
        <v>2</v>
      </c>
      <c r="B8" s="2"/>
      <c r="C8" s="1"/>
      <c r="D8" s="1"/>
      <c r="E8" s="9">
        <v>0.109</v>
      </c>
      <c r="F8" s="1"/>
      <c r="G8" s="1">
        <v>7257</v>
      </c>
      <c r="H8" s="9"/>
      <c r="I8" s="1">
        <v>618</v>
      </c>
      <c r="J8" s="1"/>
      <c r="K8" s="2"/>
    </row>
    <row r="9" ht="13.85" spans="1:11">
      <c r="A9" s="2">
        <v>3</v>
      </c>
      <c r="B9" s="2"/>
      <c r="C9" s="1"/>
      <c r="D9" s="1"/>
      <c r="E9" s="9">
        <v>0.103</v>
      </c>
      <c r="F9" s="1"/>
      <c r="G9" s="1">
        <v>11321</v>
      </c>
      <c r="H9" s="9"/>
      <c r="I9" s="1">
        <v>811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0.087</v>
      </c>
      <c r="F10" s="1"/>
      <c r="G10" s="1">
        <v>14089</v>
      </c>
      <c r="H10" s="9"/>
      <c r="I10" s="1">
        <v>1005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0.087</v>
      </c>
      <c r="F11" s="1"/>
      <c r="G11" s="1">
        <v>16677</v>
      </c>
      <c r="H11" s="9"/>
      <c r="I11" s="1">
        <v>1170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0.091</v>
      </c>
      <c r="F12" s="1"/>
      <c r="G12" s="1">
        <v>19215</v>
      </c>
      <c r="H12" s="9"/>
      <c r="I12" s="1">
        <v>1252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0.055</v>
      </c>
      <c r="F13" s="1"/>
      <c r="G13" s="1">
        <v>22446</v>
      </c>
      <c r="H13" s="9"/>
      <c r="I13" s="1">
        <v>1480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0.069</v>
      </c>
      <c r="F14" s="1"/>
      <c r="G14" s="1">
        <v>25415</v>
      </c>
      <c r="H14" s="9"/>
      <c r="I14" s="1">
        <v>1696</v>
      </c>
      <c r="J14" s="1"/>
      <c r="K14" s="2"/>
    </row>
    <row r="15" ht="13.85" spans="1:11">
      <c r="A15" s="2">
        <v>9</v>
      </c>
      <c r="B15" s="2"/>
      <c r="C15" s="1"/>
      <c r="D15" s="1"/>
      <c r="E15" s="20">
        <v>0.1</v>
      </c>
      <c r="F15" s="1"/>
      <c r="G15" s="1">
        <v>28356</v>
      </c>
      <c r="H15" s="9"/>
      <c r="I15" s="1">
        <v>1733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0.115</v>
      </c>
      <c r="F16" s="1"/>
      <c r="G16" s="1">
        <v>30940</v>
      </c>
      <c r="H16" s="9"/>
      <c r="I16" s="1">
        <v>1424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0.109</v>
      </c>
      <c r="F17" s="1"/>
      <c r="G17" s="1">
        <v>33088</v>
      </c>
      <c r="H17" s="9"/>
      <c r="I17" s="1">
        <v>1489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0.12</v>
      </c>
      <c r="F18" s="1"/>
      <c r="G18" s="1">
        <v>33432</v>
      </c>
      <c r="H18" s="9"/>
      <c r="I18" s="1">
        <v>1547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0.117</v>
      </c>
      <c r="F19" s="1"/>
      <c r="G19" s="1">
        <v>37697</v>
      </c>
      <c r="H19" s="9"/>
      <c r="I19" s="1">
        <v>1463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0.095</v>
      </c>
      <c r="F20" s="1"/>
      <c r="G20" s="1">
        <v>39235</v>
      </c>
      <c r="H20" s="9"/>
      <c r="I20" s="1">
        <v>1619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0.043</v>
      </c>
      <c r="F21" s="1"/>
      <c r="G21" s="1">
        <v>40439</v>
      </c>
      <c r="H21" s="10"/>
      <c r="I21" s="1">
        <v>1509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0.028</v>
      </c>
      <c r="F22" s="1"/>
      <c r="G22" s="1">
        <v>41800</v>
      </c>
      <c r="H22" s="9"/>
      <c r="I22" s="1">
        <v>1662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0.022</v>
      </c>
      <c r="F23" s="1"/>
      <c r="G23" s="12">
        <v>42906</v>
      </c>
      <c r="H23" s="9"/>
      <c r="I23" s="1">
        <v>1321</v>
      </c>
      <c r="J23" s="1"/>
      <c r="K23" s="2"/>
    </row>
    <row r="24" spans="1:11">
      <c r="A24" s="2">
        <v>18</v>
      </c>
      <c r="B24" s="13"/>
      <c r="C24" s="13"/>
      <c r="D24" s="13"/>
      <c r="E24" s="2">
        <v>0.004</v>
      </c>
      <c r="F24" s="2"/>
      <c r="G24" s="2">
        <v>43206</v>
      </c>
      <c r="H24" s="2"/>
      <c r="I24" s="2">
        <v>497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abSelected="1" workbookViewId="0">
      <selection activeCell="I23" sqref="I23"/>
    </sheetView>
  </sheetViews>
  <sheetFormatPr defaultColWidth="9.02654867256637" defaultRowHeight="12.75"/>
  <sheetData>
    <row r="2" ht="13.85" spans="1:8">
      <c r="A2" s="1" t="s">
        <v>183</v>
      </c>
      <c r="B2" s="1">
        <v>2681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0.13</v>
      </c>
      <c r="F6" s="1"/>
      <c r="G6" s="1">
        <v>6564</v>
      </c>
      <c r="H6" s="1"/>
      <c r="J6" s="1">
        <v>200</v>
      </c>
      <c r="K6" s="13"/>
    </row>
    <row r="7" ht="13.85" spans="1:11">
      <c r="A7" s="2">
        <v>1</v>
      </c>
      <c r="B7" s="2"/>
      <c r="C7" s="1"/>
      <c r="D7" s="1"/>
      <c r="E7" s="9">
        <v>0.138</v>
      </c>
      <c r="F7" s="1"/>
      <c r="G7" s="1">
        <v>7769</v>
      </c>
      <c r="H7" s="9"/>
      <c r="I7" s="15">
        <v>451</v>
      </c>
      <c r="J7" s="1"/>
      <c r="K7" s="2"/>
    </row>
    <row r="8" ht="13.85" spans="1:11">
      <c r="A8" s="2">
        <v>2</v>
      </c>
      <c r="B8" s="2"/>
      <c r="C8" s="1"/>
      <c r="D8" s="1"/>
      <c r="E8" s="9">
        <v>0.115</v>
      </c>
      <c r="F8" s="1"/>
      <c r="G8" s="1">
        <v>8765</v>
      </c>
      <c r="H8" s="9"/>
      <c r="I8" s="1">
        <v>658</v>
      </c>
      <c r="J8" s="1"/>
      <c r="K8" s="2"/>
    </row>
    <row r="9" ht="13.85" spans="1:11">
      <c r="A9" s="2">
        <v>3</v>
      </c>
      <c r="B9" s="2"/>
      <c r="C9" s="1"/>
      <c r="D9" s="1"/>
      <c r="E9" s="9">
        <v>0.088</v>
      </c>
      <c r="F9" s="1"/>
      <c r="G9" s="1">
        <v>12045</v>
      </c>
      <c r="H9" s="9"/>
      <c r="I9" s="1">
        <v>791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0.081</v>
      </c>
      <c r="F10" s="1"/>
      <c r="G10" s="1">
        <v>13717</v>
      </c>
      <c r="H10" s="9"/>
      <c r="I10" s="1">
        <v>1100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0.064</v>
      </c>
      <c r="F11" s="1"/>
      <c r="G11" s="1">
        <v>17811</v>
      </c>
      <c r="H11" s="9"/>
      <c r="I11" s="1">
        <v>1363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0.087</v>
      </c>
      <c r="F12" s="1"/>
      <c r="G12" s="1">
        <v>20462</v>
      </c>
      <c r="H12" s="9"/>
      <c r="I12" s="1">
        <v>1301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0.058</v>
      </c>
      <c r="F13" s="1"/>
      <c r="G13" s="1">
        <v>23608</v>
      </c>
      <c r="H13" s="9"/>
      <c r="I13" s="1">
        <v>1459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0.05</v>
      </c>
      <c r="F14" s="1"/>
      <c r="G14" s="1">
        <v>26151</v>
      </c>
      <c r="H14" s="9"/>
      <c r="I14" s="1">
        <v>1725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0.035</v>
      </c>
      <c r="F15" s="1"/>
      <c r="G15" s="1">
        <v>28983</v>
      </c>
      <c r="H15" s="9"/>
      <c r="I15" s="1">
        <v>1640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0.069</v>
      </c>
      <c r="F16" s="1"/>
      <c r="G16" s="1">
        <v>32330</v>
      </c>
      <c r="H16" s="9"/>
      <c r="I16" s="1">
        <v>1873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0.051</v>
      </c>
      <c r="F17" s="1"/>
      <c r="G17" s="1">
        <v>35840</v>
      </c>
      <c r="H17" s="9"/>
      <c r="I17" s="1">
        <v>1821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0.062</v>
      </c>
      <c r="F18" s="1"/>
      <c r="G18" s="1">
        <v>38251</v>
      </c>
      <c r="H18" s="9"/>
      <c r="I18" s="1">
        <v>1949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0.07</v>
      </c>
      <c r="F19" s="1"/>
      <c r="G19" s="1">
        <v>40356</v>
      </c>
      <c r="H19" s="9"/>
      <c r="I19" s="1">
        <v>1960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0.04</v>
      </c>
      <c r="F20" s="1"/>
      <c r="G20" s="1">
        <v>42137</v>
      </c>
      <c r="H20" s="9"/>
      <c r="I20" s="1">
        <v>1821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0.021</v>
      </c>
      <c r="F21" s="1"/>
      <c r="G21" s="1">
        <v>43500</v>
      </c>
      <c r="H21" s="10"/>
      <c r="I21" s="1">
        <v>1868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0.01</v>
      </c>
      <c r="F22" s="1"/>
      <c r="G22" s="1">
        <v>44280</v>
      </c>
      <c r="H22" s="9"/>
      <c r="I22" s="1">
        <v>1020</v>
      </c>
      <c r="J22" s="1"/>
      <c r="K22" s="2"/>
    </row>
    <row r="23" ht="13.85" spans="1:11">
      <c r="A23" s="2">
        <v>17</v>
      </c>
      <c r="B23" s="2"/>
      <c r="C23" s="1"/>
      <c r="D23" s="1"/>
      <c r="E23" s="11"/>
      <c r="F23" s="1"/>
      <c r="G23" s="12"/>
      <c r="H23" s="9"/>
      <c r="I23" s="1"/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workbookViewId="0">
      <selection activeCell="E15" sqref="E15"/>
    </sheetView>
  </sheetViews>
  <sheetFormatPr defaultColWidth="9.02654867256637" defaultRowHeight="12.75"/>
  <sheetData>
    <row r="2" ht="13.85" spans="1:8">
      <c r="A2" s="1" t="s">
        <v>183</v>
      </c>
      <c r="B2" s="1">
        <v>2237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0.19</v>
      </c>
      <c r="F6" s="1"/>
      <c r="G6" s="1">
        <v>5594</v>
      </c>
      <c r="H6" s="1"/>
      <c r="I6" s="15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0.233</v>
      </c>
      <c r="F7" s="1"/>
      <c r="G7" s="1">
        <v>6430</v>
      </c>
      <c r="H7" s="9"/>
      <c r="I7" s="1">
        <v>494</v>
      </c>
      <c r="J7" s="1"/>
      <c r="K7" s="2"/>
    </row>
    <row r="8" ht="13.85" spans="1:11">
      <c r="A8" s="2">
        <v>2</v>
      </c>
      <c r="B8" s="2"/>
      <c r="C8" s="1"/>
      <c r="D8" s="1"/>
      <c r="E8" s="9">
        <v>0.238</v>
      </c>
      <c r="F8" s="1"/>
      <c r="G8" s="1">
        <v>8090</v>
      </c>
      <c r="H8" s="9"/>
      <c r="I8" s="1">
        <v>610</v>
      </c>
      <c r="J8" s="1"/>
      <c r="K8" s="2"/>
    </row>
    <row r="9" ht="13.85" spans="1:11">
      <c r="A9" s="2">
        <v>3</v>
      </c>
      <c r="B9" s="2"/>
      <c r="C9" s="1"/>
      <c r="D9" s="1"/>
      <c r="E9" s="9">
        <v>0.23</v>
      </c>
      <c r="F9" s="1"/>
      <c r="G9" s="1">
        <v>10950</v>
      </c>
      <c r="H9" s="9"/>
      <c r="I9" s="1">
        <v>664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0.154</v>
      </c>
      <c r="F10" s="1"/>
      <c r="G10" s="1">
        <v>12532</v>
      </c>
      <c r="H10" s="9"/>
      <c r="I10" s="1">
        <v>820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0.142</v>
      </c>
      <c r="F11" s="1"/>
      <c r="G11" s="1">
        <v>15048</v>
      </c>
      <c r="H11" s="9"/>
      <c r="I11" s="1">
        <v>1035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0.15</v>
      </c>
      <c r="F12" s="1"/>
      <c r="G12" s="1">
        <v>17710</v>
      </c>
      <c r="H12" s="9"/>
      <c r="I12" s="1">
        <v>1067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0.145</v>
      </c>
      <c r="F13" s="1"/>
      <c r="G13" s="1">
        <v>20409</v>
      </c>
      <c r="H13" s="9"/>
      <c r="I13" s="1">
        <v>1135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0.092</v>
      </c>
      <c r="F14" s="1"/>
      <c r="G14" s="1">
        <v>24442</v>
      </c>
      <c r="H14" s="9"/>
      <c r="I14" s="1">
        <v>1320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0.105</v>
      </c>
      <c r="F15" s="1"/>
      <c r="G15" s="1">
        <v>27370</v>
      </c>
      <c r="H15" s="9"/>
      <c r="I15" s="1">
        <v>1521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0.114</v>
      </c>
      <c r="F16" s="1"/>
      <c r="G16" s="1">
        <v>29195</v>
      </c>
      <c r="H16" s="9"/>
      <c r="I16" s="1">
        <v>1268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</v>
      </c>
      <c r="F17" s="1"/>
      <c r="G17" s="1">
        <v>30976</v>
      </c>
      <c r="H17" s="9"/>
      <c r="I17" s="1">
        <v>1493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0.094</v>
      </c>
      <c r="F18" s="1"/>
      <c r="G18" s="1">
        <v>33195</v>
      </c>
      <c r="H18" s="9"/>
      <c r="I18" s="1">
        <v>1679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0.085</v>
      </c>
      <c r="F19" s="1"/>
      <c r="G19" s="1">
        <v>35370</v>
      </c>
      <c r="H19" s="9"/>
      <c r="I19" s="1">
        <v>1776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0.083</v>
      </c>
      <c r="F20" s="1"/>
      <c r="G20" s="1">
        <v>37755</v>
      </c>
      <c r="H20" s="9"/>
      <c r="I20" s="1">
        <v>1807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0.065</v>
      </c>
      <c r="F21" s="1"/>
      <c r="G21" s="1">
        <v>40944</v>
      </c>
      <c r="H21" s="10"/>
      <c r="I21" s="1">
        <v>1751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0.041</v>
      </c>
      <c r="F22" s="1"/>
      <c r="G22" s="1">
        <v>42340</v>
      </c>
      <c r="H22" s="9"/>
      <c r="I22" s="1">
        <v>1537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0.023</v>
      </c>
      <c r="F23" s="1"/>
      <c r="G23" s="12">
        <v>43952</v>
      </c>
      <c r="H23" s="9"/>
      <c r="I23" s="1">
        <v>1723</v>
      </c>
      <c r="J23" s="1"/>
      <c r="K23" s="2"/>
    </row>
    <row r="24" spans="1:11">
      <c r="A24" s="2">
        <v>18</v>
      </c>
      <c r="B24" s="13"/>
      <c r="C24" s="13"/>
      <c r="D24" s="13"/>
      <c r="E24" s="2">
        <v>0.002</v>
      </c>
      <c r="F24" s="2"/>
      <c r="G24" s="2">
        <v>44776</v>
      </c>
      <c r="H24" s="2"/>
      <c r="I24" s="2">
        <v>1000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I26" sqref="I26"/>
    </sheetView>
  </sheetViews>
  <sheetFormatPr defaultColWidth="9.02654867256637" defaultRowHeight="12.75"/>
  <sheetData>
    <row r="2" ht="13.85" spans="1:8">
      <c r="A2" s="1" t="s">
        <v>183</v>
      </c>
      <c r="B2" s="1">
        <v>2238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0.152</v>
      </c>
      <c r="F6" s="1"/>
      <c r="G6" s="1">
        <v>6044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0.212</v>
      </c>
      <c r="F7" s="1"/>
      <c r="G7" s="1">
        <v>7183</v>
      </c>
      <c r="H7" s="9"/>
      <c r="I7" s="1">
        <v>390</v>
      </c>
      <c r="J7" s="1"/>
      <c r="K7" s="2"/>
    </row>
    <row r="8" ht="13.85" spans="1:11">
      <c r="A8" s="2">
        <v>2</v>
      </c>
      <c r="B8" s="2"/>
      <c r="C8" s="1"/>
      <c r="D8" s="1"/>
      <c r="E8" s="9">
        <v>0.239</v>
      </c>
      <c r="F8" s="1"/>
      <c r="G8" s="1">
        <v>8432</v>
      </c>
      <c r="H8" s="9"/>
      <c r="I8" s="1">
        <v>588</v>
      </c>
      <c r="J8" s="1"/>
      <c r="K8" s="2"/>
    </row>
    <row r="9" ht="13.85" spans="1:11">
      <c r="A9" s="2">
        <v>3</v>
      </c>
      <c r="B9" s="2"/>
      <c r="C9" s="1"/>
      <c r="D9" s="1"/>
      <c r="E9" s="9">
        <v>0.222</v>
      </c>
      <c r="F9" s="1"/>
      <c r="G9" s="1">
        <v>10557</v>
      </c>
      <c r="H9" s="9"/>
      <c r="I9" s="1">
        <v>728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0.197</v>
      </c>
      <c r="F10" s="1"/>
      <c r="G10" s="1">
        <v>13124</v>
      </c>
      <c r="H10" s="9"/>
      <c r="I10" s="1">
        <v>838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0.178</v>
      </c>
      <c r="F11" s="1"/>
      <c r="G11" s="1">
        <v>15319</v>
      </c>
      <c r="H11" s="9"/>
      <c r="I11" s="1">
        <v>969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0.142</v>
      </c>
      <c r="F12" s="1"/>
      <c r="G12" s="1">
        <v>17103</v>
      </c>
      <c r="H12" s="9"/>
      <c r="I12" s="1">
        <v>1121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0.13</v>
      </c>
      <c r="F13" s="1"/>
      <c r="G13" s="1">
        <v>19596</v>
      </c>
      <c r="H13" s="9"/>
      <c r="I13" s="1">
        <v>1184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0.128</v>
      </c>
      <c r="F14" s="1"/>
      <c r="G14" s="1">
        <v>22220</v>
      </c>
      <c r="H14" s="9"/>
      <c r="I14" s="1">
        <v>1382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0.116</v>
      </c>
      <c r="F15" s="1"/>
      <c r="G15" s="1">
        <v>25010</v>
      </c>
      <c r="H15" s="9"/>
      <c r="I15" s="1">
        <v>1386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0.106</v>
      </c>
      <c r="F16" s="1"/>
      <c r="G16" s="1">
        <v>27611</v>
      </c>
      <c r="H16" s="9"/>
      <c r="I16" s="1">
        <v>1518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0.08</v>
      </c>
      <c r="F17" s="1"/>
      <c r="G17" s="1">
        <v>30256</v>
      </c>
      <c r="H17" s="9"/>
      <c r="I17" s="1">
        <v>1751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0.076</v>
      </c>
      <c r="F18" s="1"/>
      <c r="G18" s="1">
        <v>32639</v>
      </c>
      <c r="H18" s="9"/>
      <c r="I18" s="1">
        <v>1795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0.08</v>
      </c>
      <c r="F19" s="1"/>
      <c r="G19" s="1">
        <v>36040</v>
      </c>
      <c r="H19" s="9"/>
      <c r="I19" s="1">
        <v>1737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0.066</v>
      </c>
      <c r="F20" s="1"/>
      <c r="G20" s="1">
        <v>38444</v>
      </c>
      <c r="H20" s="9"/>
      <c r="I20" s="1">
        <v>1769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0.042</v>
      </c>
      <c r="F21" s="1"/>
      <c r="G21" s="1">
        <v>40526</v>
      </c>
      <c r="H21" s="10"/>
      <c r="I21" s="1">
        <v>1789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0.015</v>
      </c>
      <c r="F22" s="1"/>
      <c r="G22" s="1">
        <v>42601</v>
      </c>
      <c r="H22" s="9"/>
      <c r="I22" s="1">
        <v>1933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0.002</v>
      </c>
      <c r="F23" s="1"/>
      <c r="G23" s="12">
        <v>44462</v>
      </c>
      <c r="H23" s="9"/>
      <c r="I23" s="1">
        <v>1391</v>
      </c>
      <c r="J23" s="1"/>
      <c r="K23" s="2"/>
    </row>
    <row r="24" spans="1:11">
      <c r="A24" s="2">
        <v>18</v>
      </c>
      <c r="B24" s="13"/>
      <c r="C24" s="13"/>
      <c r="D24" s="13"/>
      <c r="E24" s="2">
        <v>0.007</v>
      </c>
      <c r="F24" s="2"/>
      <c r="G24" s="2">
        <v>46542</v>
      </c>
      <c r="H24" s="2"/>
      <c r="I24" s="2">
        <v>850</v>
      </c>
      <c r="J24" s="13"/>
      <c r="K24" s="13"/>
    </row>
    <row r="25" spans="1:11">
      <c r="A25" s="2">
        <v>19</v>
      </c>
      <c r="B25" s="13"/>
      <c r="C25" s="13"/>
      <c r="D25" s="13"/>
      <c r="E25" s="2">
        <v>0.001</v>
      </c>
      <c r="F25" s="2"/>
      <c r="G25" s="2">
        <v>47032</v>
      </c>
      <c r="H25" s="2"/>
      <c r="I25" s="2">
        <v>431</v>
      </c>
      <c r="J25" s="13"/>
      <c r="K25" s="13"/>
    </row>
    <row r="26" spans="1:11">
      <c r="A26" s="2">
        <v>20</v>
      </c>
      <c r="B26" s="13"/>
      <c r="C26" s="13"/>
      <c r="D26" s="13"/>
      <c r="E26" s="2"/>
      <c r="F26" s="2"/>
      <c r="G26" s="2"/>
      <c r="H26" s="2"/>
      <c r="I26" s="2"/>
      <c r="J26" s="13"/>
      <c r="K26" s="13"/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G30" sqref="G30"/>
    </sheetView>
  </sheetViews>
  <sheetFormatPr defaultColWidth="9.02654867256637" defaultRowHeight="12.75"/>
  <sheetData>
    <row r="2" ht="13.85" spans="1:8">
      <c r="A2" s="1" t="s">
        <v>183</v>
      </c>
      <c r="B2" s="1">
        <v>2235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0.2152</v>
      </c>
      <c r="F6" s="1"/>
      <c r="G6" s="1">
        <v>5749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0.204</v>
      </c>
      <c r="F7" s="1"/>
      <c r="G7" s="1">
        <v>6266</v>
      </c>
      <c r="H7" s="9"/>
      <c r="I7" s="1">
        <v>437</v>
      </c>
      <c r="J7" s="1"/>
      <c r="K7" s="2"/>
    </row>
    <row r="8" ht="13.85" spans="1:11">
      <c r="A8" s="2">
        <v>2</v>
      </c>
      <c r="B8" s="2"/>
      <c r="C8" s="1"/>
      <c r="D8" s="1"/>
      <c r="E8" s="9">
        <v>0.196</v>
      </c>
      <c r="F8" s="1"/>
      <c r="G8" s="1">
        <v>7921</v>
      </c>
      <c r="H8" s="9"/>
      <c r="I8" s="1">
        <v>626</v>
      </c>
      <c r="J8" s="1"/>
      <c r="K8" s="2"/>
    </row>
    <row r="9" ht="13.85" spans="1:11">
      <c r="A9" s="2">
        <v>3</v>
      </c>
      <c r="B9" s="2"/>
      <c r="C9" s="1"/>
      <c r="D9" s="1"/>
      <c r="E9" s="9">
        <v>0.182</v>
      </c>
      <c r="F9" s="1"/>
      <c r="G9" s="1">
        <v>10932</v>
      </c>
      <c r="H9" s="9"/>
      <c r="I9" s="1">
        <v>807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0.193</v>
      </c>
      <c r="F10" s="1"/>
      <c r="G10" s="1">
        <v>12919</v>
      </c>
      <c r="H10" s="9"/>
      <c r="I10" s="1">
        <v>848</v>
      </c>
      <c r="J10" s="1"/>
      <c r="K10" s="2"/>
    </row>
    <row r="11" ht="13.85" spans="1:11">
      <c r="A11" s="2">
        <v>5</v>
      </c>
      <c r="B11" s="2"/>
      <c r="C11" s="1"/>
      <c r="D11" s="1"/>
      <c r="E11" s="19">
        <v>0.15</v>
      </c>
      <c r="F11" s="1"/>
      <c r="G11" s="1">
        <v>14774</v>
      </c>
      <c r="H11" s="9"/>
      <c r="I11" s="1">
        <v>939</v>
      </c>
      <c r="J11" s="1"/>
      <c r="K11" s="2"/>
    </row>
    <row r="12" ht="13.85" spans="1:11">
      <c r="A12" s="2">
        <v>6</v>
      </c>
      <c r="B12" s="2"/>
      <c r="C12" s="1"/>
      <c r="D12" s="1"/>
      <c r="E12" s="19">
        <v>0.12</v>
      </c>
      <c r="F12" s="1"/>
      <c r="G12" s="1">
        <v>17717</v>
      </c>
      <c r="H12" s="9"/>
      <c r="I12" s="1">
        <v>1066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0.086</v>
      </c>
      <c r="F13" s="1"/>
      <c r="G13" s="1">
        <v>19969</v>
      </c>
      <c r="H13" s="9"/>
      <c r="I13" s="1">
        <v>1214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0.069</v>
      </c>
      <c r="F14" s="1"/>
      <c r="G14" s="1">
        <v>22933</v>
      </c>
      <c r="H14" s="9"/>
      <c r="I14" s="1">
        <v>1275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0.07</v>
      </c>
      <c r="F15" s="1"/>
      <c r="G15" s="1">
        <v>24768</v>
      </c>
      <c r="H15" s="9"/>
      <c r="I15" s="1">
        <v>1490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0.062</v>
      </c>
      <c r="F16" s="1"/>
      <c r="G16" s="1">
        <v>27140</v>
      </c>
      <c r="H16" s="9"/>
      <c r="I16" s="1">
        <v>1541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0.068</v>
      </c>
      <c r="F17" s="1"/>
      <c r="G17" s="1">
        <v>30086</v>
      </c>
      <c r="H17" s="9"/>
      <c r="I17" s="1">
        <v>1843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0.046</v>
      </c>
      <c r="F18" s="1"/>
      <c r="G18" s="1">
        <v>32639</v>
      </c>
      <c r="H18" s="9"/>
      <c r="I18" s="1">
        <v>1837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0.057</v>
      </c>
      <c r="F19" s="1"/>
      <c r="G19" s="1">
        <v>35768</v>
      </c>
      <c r="H19" s="9"/>
      <c r="I19" s="1">
        <v>1818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0.06</v>
      </c>
      <c r="F20" s="1"/>
      <c r="G20" s="1">
        <v>37697</v>
      </c>
      <c r="H20" s="9"/>
      <c r="I20" s="1">
        <v>1787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0.039</v>
      </c>
      <c r="F21" s="1"/>
      <c r="G21" s="1">
        <v>40014</v>
      </c>
      <c r="H21" s="10"/>
      <c r="I21" s="1">
        <v>1799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0.027</v>
      </c>
      <c r="F22" s="1"/>
      <c r="G22" s="1">
        <v>42281</v>
      </c>
      <c r="H22" s="9"/>
      <c r="I22" s="1">
        <v>1884</v>
      </c>
      <c r="J22" s="1"/>
      <c r="K22" s="2"/>
    </row>
    <row r="23" ht="13.85" spans="1:11">
      <c r="A23" s="2">
        <v>17</v>
      </c>
      <c r="B23" s="2"/>
      <c r="C23" s="1"/>
      <c r="D23" s="1"/>
      <c r="E23" s="9">
        <v>0.011</v>
      </c>
      <c r="F23" s="1"/>
      <c r="G23" s="12">
        <v>43123</v>
      </c>
      <c r="H23" s="9"/>
      <c r="I23" s="1">
        <v>1204</v>
      </c>
      <c r="J23" s="1"/>
      <c r="K23" s="2"/>
    </row>
    <row r="24" ht="13.85" spans="1:11">
      <c r="A24" s="2">
        <v>18</v>
      </c>
      <c r="B24" s="13"/>
      <c r="C24" s="13"/>
      <c r="D24" s="13"/>
      <c r="E24" s="11">
        <v>0.023</v>
      </c>
      <c r="F24" s="13"/>
      <c r="G24" s="2">
        <v>43326</v>
      </c>
      <c r="H24" s="2"/>
      <c r="I24" s="2">
        <v>285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J7" sqref="J7"/>
    </sheetView>
  </sheetViews>
  <sheetFormatPr defaultColWidth="9.02654867256637" defaultRowHeight="12.75"/>
  <sheetData>
    <row r="2" ht="13.85" spans="1:8">
      <c r="A2" s="1" t="s">
        <v>183</v>
      </c>
      <c r="B2" s="1">
        <v>2236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0.129</v>
      </c>
      <c r="F6" s="1"/>
      <c r="G6" s="1">
        <v>5855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0.248</v>
      </c>
      <c r="F7" s="1"/>
      <c r="G7" s="1">
        <v>6262</v>
      </c>
      <c r="H7" s="9"/>
      <c r="I7" s="1">
        <v>565</v>
      </c>
      <c r="J7" s="1"/>
      <c r="K7" s="2"/>
    </row>
    <row r="8" ht="13.85" spans="1:11">
      <c r="A8" s="2">
        <v>2</v>
      </c>
      <c r="B8" s="2"/>
      <c r="C8" s="1"/>
      <c r="D8" s="1"/>
      <c r="E8" s="9">
        <v>0.185</v>
      </c>
      <c r="F8" s="1"/>
      <c r="G8" s="1">
        <v>8199</v>
      </c>
      <c r="H8" s="9"/>
      <c r="I8" s="1">
        <v>618</v>
      </c>
      <c r="J8" s="1"/>
      <c r="K8" s="2"/>
    </row>
    <row r="9" ht="13.85" spans="1:11">
      <c r="A9" s="2">
        <v>3</v>
      </c>
      <c r="B9" s="2"/>
      <c r="C9" s="1"/>
      <c r="D9" s="1"/>
      <c r="E9" s="9">
        <v>0.144</v>
      </c>
      <c r="F9" s="1"/>
      <c r="G9" s="1">
        <v>10776</v>
      </c>
      <c r="H9" s="9"/>
      <c r="I9" s="1">
        <v>728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0.164</v>
      </c>
      <c r="F10" s="1"/>
      <c r="G10" s="1">
        <v>12675</v>
      </c>
      <c r="H10" s="9"/>
      <c r="I10" s="1">
        <v>865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0.156</v>
      </c>
      <c r="F11" s="1"/>
      <c r="G11" s="1">
        <v>15138</v>
      </c>
      <c r="H11" s="9"/>
      <c r="I11" s="1">
        <v>1094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0.13</v>
      </c>
      <c r="F12" s="1"/>
      <c r="G12" s="1">
        <v>18054</v>
      </c>
      <c r="H12" s="9"/>
      <c r="I12" s="1">
        <v>1244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0.109</v>
      </c>
      <c r="F13" s="1"/>
      <c r="G13" s="1">
        <v>20560</v>
      </c>
      <c r="H13" s="9"/>
      <c r="I13" s="1">
        <v>1224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0.12</v>
      </c>
      <c r="F14" s="1"/>
      <c r="G14" s="1">
        <v>22915</v>
      </c>
      <c r="H14" s="9"/>
      <c r="I14" s="1">
        <v>1471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0.108</v>
      </c>
      <c r="F15" s="1"/>
      <c r="G15" s="1">
        <v>25256</v>
      </c>
      <c r="H15" s="9"/>
      <c r="I15" s="1">
        <v>1484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0.069</v>
      </c>
      <c r="F16" s="1"/>
      <c r="G16" s="1">
        <v>28668</v>
      </c>
      <c r="H16" s="9"/>
      <c r="I16" s="1">
        <v>1655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0.06</v>
      </c>
      <c r="F17" s="1"/>
      <c r="G17" s="1">
        <v>31760</v>
      </c>
      <c r="H17" s="9"/>
      <c r="I17" s="1">
        <v>1889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0.071</v>
      </c>
      <c r="F18" s="1"/>
      <c r="G18" s="1">
        <v>34679</v>
      </c>
      <c r="H18" s="9"/>
      <c r="I18" s="1">
        <v>2010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0.092</v>
      </c>
      <c r="F19" s="1"/>
      <c r="G19" s="1">
        <v>37163</v>
      </c>
      <c r="H19" s="9"/>
      <c r="I19" s="1">
        <v>1893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0.077</v>
      </c>
      <c r="F20" s="1"/>
      <c r="G20" s="1">
        <v>39888</v>
      </c>
      <c r="H20" s="9"/>
      <c r="I20" s="1">
        <v>1717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0.031</v>
      </c>
      <c r="F21" s="1"/>
      <c r="G21" s="1">
        <v>43080</v>
      </c>
      <c r="H21" s="10"/>
      <c r="I21" s="1">
        <v>1927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0.005</v>
      </c>
      <c r="F22" s="1"/>
      <c r="G22" s="1">
        <v>45771</v>
      </c>
      <c r="H22" s="9"/>
      <c r="I22" s="1">
        <v>1643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0.002</v>
      </c>
      <c r="F23" s="1"/>
      <c r="G23" s="12">
        <v>45897</v>
      </c>
      <c r="H23" s="9"/>
      <c r="I23" s="1">
        <v>673</v>
      </c>
      <c r="J23" s="1"/>
      <c r="K23" s="2"/>
    </row>
    <row r="24" spans="1:11">
      <c r="A24" s="2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J28" sqref="J28"/>
    </sheetView>
  </sheetViews>
  <sheetFormatPr defaultColWidth="9.02654867256637" defaultRowHeight="12.75"/>
  <sheetData>
    <row r="2" ht="13.85" spans="1:8">
      <c r="A2" s="1" t="s">
        <v>183</v>
      </c>
      <c r="B2" s="1">
        <v>2233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0.143</v>
      </c>
      <c r="F6" s="1"/>
      <c r="G6" s="1">
        <v>5977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0.242</v>
      </c>
      <c r="F7" s="1"/>
      <c r="G7" s="1">
        <v>7556</v>
      </c>
      <c r="H7" s="9"/>
      <c r="I7" s="1">
        <v>513</v>
      </c>
      <c r="J7" s="1"/>
      <c r="K7" s="2"/>
    </row>
    <row r="8" ht="13.85" spans="1:11">
      <c r="A8" s="2">
        <v>2</v>
      </c>
      <c r="B8" s="2"/>
      <c r="C8" s="1"/>
      <c r="D8" s="1"/>
      <c r="E8" s="9">
        <v>0.155</v>
      </c>
      <c r="F8" s="1"/>
      <c r="G8" s="1">
        <v>8640</v>
      </c>
      <c r="H8" s="9"/>
      <c r="I8" s="1">
        <v>490</v>
      </c>
      <c r="J8" s="1"/>
      <c r="K8" s="2"/>
    </row>
    <row r="9" ht="13.85" spans="1:11">
      <c r="A9" s="2">
        <v>3</v>
      </c>
      <c r="B9" s="2"/>
      <c r="C9" s="1"/>
      <c r="D9" s="1"/>
      <c r="E9" s="9">
        <v>0.153</v>
      </c>
      <c r="F9" s="1"/>
      <c r="G9" s="1">
        <v>10960</v>
      </c>
      <c r="H9" s="9"/>
      <c r="I9" s="1">
        <v>783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0.16</v>
      </c>
      <c r="F10" s="1"/>
      <c r="G10" s="1">
        <v>12837</v>
      </c>
      <c r="H10" s="9"/>
      <c r="I10" s="1">
        <v>914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0.144</v>
      </c>
      <c r="F11" s="1"/>
      <c r="G11" s="1">
        <v>15154</v>
      </c>
      <c r="H11" s="9"/>
      <c r="I11" s="1">
        <v>928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0.138</v>
      </c>
      <c r="F12" s="1"/>
      <c r="G12" s="1">
        <v>17187</v>
      </c>
      <c r="H12" s="9"/>
      <c r="I12" s="1">
        <v>1160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0.098</v>
      </c>
      <c r="F13" s="1"/>
      <c r="G13" s="1">
        <v>20140</v>
      </c>
      <c r="H13" s="9"/>
      <c r="I13" s="1">
        <v>1161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0.065</v>
      </c>
      <c r="F14" s="1"/>
      <c r="G14" s="1">
        <v>22492</v>
      </c>
      <c r="H14" s="9"/>
      <c r="I14" s="1">
        <v>1424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0.13</v>
      </c>
      <c r="F15" s="1"/>
      <c r="G15" s="1">
        <v>24617</v>
      </c>
      <c r="H15" s="9"/>
      <c r="I15" s="1">
        <v>1603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0.065</v>
      </c>
      <c r="F16" s="1"/>
      <c r="G16" s="1">
        <v>27025</v>
      </c>
      <c r="H16" s="9"/>
      <c r="I16" s="1">
        <v>1316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0.061</v>
      </c>
      <c r="F17" s="1"/>
      <c r="G17" s="1">
        <v>30158</v>
      </c>
      <c r="H17" s="9"/>
      <c r="I17" s="1">
        <v>1509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0.05</v>
      </c>
      <c r="F18" s="1"/>
      <c r="G18" s="1">
        <v>32994</v>
      </c>
      <c r="H18" s="9"/>
      <c r="I18" s="1">
        <v>1870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0.063</v>
      </c>
      <c r="F19" s="1"/>
      <c r="G19" s="1">
        <v>36529</v>
      </c>
      <c r="H19" s="9"/>
      <c r="I19" s="1">
        <v>1760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0.082</v>
      </c>
      <c r="F20" s="1"/>
      <c r="G20" s="1">
        <v>38902</v>
      </c>
      <c r="H20" s="9"/>
      <c r="I20" s="1">
        <v>1814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0.114</v>
      </c>
      <c r="F21" s="1"/>
      <c r="G21" s="1">
        <v>40749</v>
      </c>
      <c r="H21" s="10"/>
      <c r="I21" s="1">
        <v>1626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0.076</v>
      </c>
      <c r="F22" s="1"/>
      <c r="G22" s="1">
        <v>43534</v>
      </c>
      <c r="H22" s="9"/>
      <c r="I22" s="1">
        <v>1606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0.062</v>
      </c>
      <c r="F23" s="1"/>
      <c r="G23" s="12">
        <v>45445</v>
      </c>
      <c r="H23" s="9"/>
      <c r="I23" s="1">
        <v>1514</v>
      </c>
      <c r="J23" s="1"/>
      <c r="K23" s="2"/>
    </row>
    <row r="24" spans="1:11">
      <c r="A24" s="2">
        <v>18</v>
      </c>
      <c r="B24" s="13"/>
      <c r="C24" s="13"/>
      <c r="D24" s="13"/>
      <c r="E24" s="2">
        <v>0.012</v>
      </c>
      <c r="F24" s="2"/>
      <c r="G24" s="2">
        <v>46964</v>
      </c>
      <c r="H24" s="2"/>
      <c r="I24" s="2">
        <v>710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G24" sqref="G24"/>
    </sheetView>
  </sheetViews>
  <sheetFormatPr defaultColWidth="9.02654867256637" defaultRowHeight="12.75"/>
  <sheetData>
    <row r="2" ht="13.85" spans="1:8">
      <c r="A2" s="1" t="s">
        <v>183</v>
      </c>
      <c r="B2" s="1">
        <v>2234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0.179</v>
      </c>
      <c r="F6" s="1"/>
      <c r="G6" s="1">
        <v>5862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0.247</v>
      </c>
      <c r="F7" s="1"/>
      <c r="G7" s="1">
        <v>7832</v>
      </c>
      <c r="H7" s="9"/>
      <c r="I7" s="1">
        <v>559</v>
      </c>
      <c r="J7" s="1"/>
      <c r="K7" s="2"/>
    </row>
    <row r="8" ht="13.85" spans="1:11">
      <c r="A8" s="2">
        <v>2</v>
      </c>
      <c r="B8" s="2"/>
      <c r="C8" s="1"/>
      <c r="D8" s="1"/>
      <c r="E8" s="9">
        <v>0.21</v>
      </c>
      <c r="F8" s="1"/>
      <c r="G8" s="1">
        <v>9429</v>
      </c>
      <c r="H8" s="9"/>
      <c r="I8" s="1">
        <v>564</v>
      </c>
      <c r="J8" s="1"/>
      <c r="K8" s="2"/>
    </row>
    <row r="9" ht="13.85" spans="1:11">
      <c r="A9" s="2">
        <v>3</v>
      </c>
      <c r="B9" s="2"/>
      <c r="C9" s="1"/>
      <c r="D9" s="1"/>
      <c r="E9" s="9">
        <v>0.134</v>
      </c>
      <c r="F9" s="1"/>
      <c r="G9" s="1">
        <v>11236</v>
      </c>
      <c r="H9" s="9"/>
      <c r="I9" s="1">
        <v>681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0.159</v>
      </c>
      <c r="F10" s="1"/>
      <c r="G10" s="1">
        <v>13042</v>
      </c>
      <c r="H10" s="9"/>
      <c r="I10" s="1">
        <v>894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0.148</v>
      </c>
      <c r="F11" s="1"/>
      <c r="G11" s="1">
        <v>14798</v>
      </c>
      <c r="H11" s="9"/>
      <c r="I11" s="1">
        <v>895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0.147</v>
      </c>
      <c r="F12" s="1"/>
      <c r="G12" s="1">
        <v>16717</v>
      </c>
      <c r="H12" s="9"/>
      <c r="I12" s="1">
        <v>977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0.155</v>
      </c>
      <c r="F13" s="1"/>
      <c r="G13" s="1">
        <v>18831</v>
      </c>
      <c r="H13" s="9"/>
      <c r="I13" s="1">
        <v>1080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0.14</v>
      </c>
      <c r="F14" s="1"/>
      <c r="G14" s="1">
        <v>21611</v>
      </c>
      <c r="H14" s="9"/>
      <c r="I14" s="1">
        <v>1242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0.135</v>
      </c>
      <c r="F15" s="1"/>
      <c r="G15" s="1">
        <v>24730</v>
      </c>
      <c r="H15" s="9"/>
      <c r="I15" s="1">
        <v>1300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0.115</v>
      </c>
      <c r="F16" s="1"/>
      <c r="G16" s="1">
        <v>26702</v>
      </c>
      <c r="H16" s="9"/>
      <c r="I16" s="1">
        <v>1366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0.12</v>
      </c>
      <c r="F17" s="1"/>
      <c r="G17" s="1">
        <v>29155</v>
      </c>
      <c r="H17" s="9"/>
      <c r="I17" s="1">
        <v>1501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0.116</v>
      </c>
      <c r="F18" s="1"/>
      <c r="G18" s="1">
        <v>31339</v>
      </c>
      <c r="H18" s="9"/>
      <c r="I18" s="1">
        <v>1451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0.109</v>
      </c>
      <c r="F19" s="1"/>
      <c r="G19" s="1">
        <v>33702</v>
      </c>
      <c r="H19" s="9"/>
      <c r="I19" s="1">
        <v>1664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0.097</v>
      </c>
      <c r="F20" s="1"/>
      <c r="G20" s="1">
        <v>36536</v>
      </c>
      <c r="H20" s="9"/>
      <c r="I20" s="1">
        <v>1718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0.083</v>
      </c>
      <c r="F21" s="1"/>
      <c r="G21" s="1">
        <v>39254</v>
      </c>
      <c r="H21" s="10"/>
      <c r="I21" s="1">
        <v>1797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0.041</v>
      </c>
      <c r="F22" s="1"/>
      <c r="G22" s="1">
        <v>40658</v>
      </c>
      <c r="H22" s="9"/>
      <c r="I22" s="1">
        <v>1670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0.043</v>
      </c>
      <c r="F23" s="1"/>
      <c r="G23" s="12">
        <v>42777</v>
      </c>
      <c r="H23" s="9"/>
      <c r="I23" s="1">
        <v>1663</v>
      </c>
      <c r="J23" s="1"/>
      <c r="K23" s="2"/>
    </row>
    <row r="24" spans="1:11">
      <c r="A24" s="2">
        <v>18</v>
      </c>
      <c r="B24" s="13"/>
      <c r="C24" s="13"/>
      <c r="D24" s="13"/>
      <c r="E24" s="2">
        <v>0.013</v>
      </c>
      <c r="F24" s="2"/>
      <c r="G24" s="2">
        <v>44351</v>
      </c>
      <c r="H24" s="2"/>
      <c r="I24" s="2">
        <v>1217</v>
      </c>
      <c r="J24" s="13"/>
      <c r="K24" s="13"/>
    </row>
    <row r="25" spans="1:11">
      <c r="A25" s="2">
        <v>19</v>
      </c>
      <c r="B25" s="13"/>
      <c r="C25" s="13"/>
      <c r="D25" s="13"/>
      <c r="E25" s="18">
        <v>0.01</v>
      </c>
      <c r="F25" s="2"/>
      <c r="G25" s="2">
        <v>43865</v>
      </c>
      <c r="H25" s="2"/>
      <c r="I25" s="2">
        <v>461</v>
      </c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I30" sqref="I30"/>
    </sheetView>
  </sheetViews>
  <sheetFormatPr defaultColWidth="9.02654867256637" defaultRowHeight="12.75"/>
  <sheetData>
    <row r="2" ht="13.85" spans="1:8">
      <c r="A2" s="1" t="s">
        <v>183</v>
      </c>
      <c r="B2" s="1">
        <v>2230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0.108</v>
      </c>
      <c r="F6" s="1"/>
      <c r="G6" s="1">
        <v>5759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0.248</v>
      </c>
      <c r="F7" s="1"/>
      <c r="G7" s="1">
        <v>7403</v>
      </c>
      <c r="H7" s="9"/>
      <c r="I7" s="1">
        <v>506</v>
      </c>
      <c r="J7" s="1"/>
      <c r="K7" s="2"/>
    </row>
    <row r="8" ht="13.85" spans="1:11">
      <c r="A8" s="2">
        <v>2</v>
      </c>
      <c r="B8" s="2"/>
      <c r="C8" s="1"/>
      <c r="D8" s="1"/>
      <c r="E8" s="9">
        <v>0.22</v>
      </c>
      <c r="F8" s="1"/>
      <c r="G8" s="1">
        <v>8362</v>
      </c>
      <c r="H8" s="9"/>
      <c r="I8" s="1">
        <v>585</v>
      </c>
      <c r="J8" s="1"/>
      <c r="K8" s="2"/>
    </row>
    <row r="9" ht="13.85" spans="1:11">
      <c r="A9" s="2">
        <v>3</v>
      </c>
      <c r="B9" s="2"/>
      <c r="C9" s="1"/>
      <c r="D9" s="1"/>
      <c r="E9" s="9">
        <v>0.145</v>
      </c>
      <c r="F9" s="1"/>
      <c r="G9" s="1">
        <v>10576</v>
      </c>
      <c r="H9" s="9"/>
      <c r="I9" s="1">
        <v>686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0.155</v>
      </c>
      <c r="F10" s="1"/>
      <c r="G10" s="1">
        <v>13247</v>
      </c>
      <c r="H10" s="9"/>
      <c r="I10" s="1">
        <v>907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0.136</v>
      </c>
      <c r="F11" s="1"/>
      <c r="G11" s="1">
        <v>15741</v>
      </c>
      <c r="H11" s="9"/>
      <c r="I11" s="1">
        <v>992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0.143</v>
      </c>
      <c r="F12" s="1"/>
      <c r="G12" s="1">
        <v>17374</v>
      </c>
      <c r="H12" s="9"/>
      <c r="I12" s="1">
        <v>1073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0.114</v>
      </c>
      <c r="F13" s="1"/>
      <c r="G13" s="1">
        <v>20064</v>
      </c>
      <c r="H13" s="9"/>
      <c r="I13" s="1">
        <v>1195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0.122</v>
      </c>
      <c r="F14" s="1"/>
      <c r="G14" s="1">
        <v>22742</v>
      </c>
      <c r="H14" s="9"/>
      <c r="I14" s="1">
        <v>1404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0.098</v>
      </c>
      <c r="F15" s="1"/>
      <c r="G15" s="1">
        <v>24966</v>
      </c>
      <c r="H15" s="9"/>
      <c r="I15" s="1">
        <v>1432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0.094</v>
      </c>
      <c r="F16" s="1"/>
      <c r="G16" s="1">
        <v>27612</v>
      </c>
      <c r="H16" s="9"/>
      <c r="I16" s="1">
        <v>1528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0.111</v>
      </c>
      <c r="F17" s="1"/>
      <c r="G17" s="1">
        <v>30725</v>
      </c>
      <c r="H17" s="9"/>
      <c r="I17" s="1">
        <v>1731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0.111</v>
      </c>
      <c r="F18" s="1"/>
      <c r="G18" s="1">
        <v>33274</v>
      </c>
      <c r="H18" s="9"/>
      <c r="I18" s="1">
        <v>1796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0.078</v>
      </c>
      <c r="F19" s="1"/>
      <c r="G19" s="1">
        <v>35279</v>
      </c>
      <c r="H19" s="9"/>
      <c r="I19" s="1">
        <v>1821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0.041</v>
      </c>
      <c r="F20" s="1"/>
      <c r="G20" s="1">
        <v>38220</v>
      </c>
      <c r="H20" s="9"/>
      <c r="I20" s="1">
        <v>1936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0.022</v>
      </c>
      <c r="F21" s="1"/>
      <c r="G21" s="1">
        <v>42030</v>
      </c>
      <c r="H21" s="10"/>
      <c r="I21" s="1">
        <v>1731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0.016</v>
      </c>
      <c r="F22" s="1"/>
      <c r="G22" s="1">
        <v>45198</v>
      </c>
      <c r="H22" s="9"/>
      <c r="I22" s="1">
        <v>1740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0.009</v>
      </c>
      <c r="F23" s="1"/>
      <c r="G23" s="12">
        <v>46116</v>
      </c>
      <c r="H23" s="9"/>
      <c r="I23" s="1">
        <v>1240</v>
      </c>
      <c r="J23" s="1"/>
      <c r="K23" s="2"/>
    </row>
    <row r="24" spans="1:11">
      <c r="A24" s="2">
        <v>18</v>
      </c>
      <c r="B24" s="13"/>
      <c r="C24" s="13"/>
      <c r="D24" s="13"/>
      <c r="E24" s="2">
        <v>0.005</v>
      </c>
      <c r="F24" s="2"/>
      <c r="G24" s="2">
        <v>47030</v>
      </c>
      <c r="H24" s="2"/>
      <c r="I24" s="2">
        <v>397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E6" sqref="E6:I25"/>
    </sheetView>
  </sheetViews>
  <sheetFormatPr defaultColWidth="9.02654867256637" defaultRowHeight="12.75"/>
  <sheetData>
    <row r="2" ht="13.85" spans="1:8">
      <c r="A2" s="1" t="s">
        <v>183</v>
      </c>
      <c r="B2" s="1">
        <v>2231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0.16</v>
      </c>
      <c r="F6" s="1"/>
      <c r="G6" s="1">
        <v>5481</v>
      </c>
      <c r="H6" s="1"/>
      <c r="I6" s="15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0.221</v>
      </c>
      <c r="F7" s="1"/>
      <c r="G7" s="1">
        <v>6307</v>
      </c>
      <c r="H7" s="9"/>
      <c r="I7" s="1">
        <v>519</v>
      </c>
      <c r="J7" s="1"/>
      <c r="K7" s="2"/>
    </row>
    <row r="8" ht="13.85" spans="1:11">
      <c r="A8" s="2">
        <v>2</v>
      </c>
      <c r="B8" s="2"/>
      <c r="C8" s="1"/>
      <c r="D8" s="1"/>
      <c r="E8" s="9">
        <v>0.206</v>
      </c>
      <c r="F8" s="1"/>
      <c r="G8" s="1">
        <v>8228</v>
      </c>
      <c r="H8" s="9"/>
      <c r="I8" s="1">
        <v>544</v>
      </c>
      <c r="J8" s="1"/>
      <c r="K8" s="2"/>
    </row>
    <row r="9" ht="13.85" spans="1:11">
      <c r="A9" s="2">
        <v>3</v>
      </c>
      <c r="B9" s="2"/>
      <c r="C9" s="1"/>
      <c r="D9" s="1"/>
      <c r="E9" s="9">
        <v>0.152</v>
      </c>
      <c r="F9" s="1"/>
      <c r="G9" s="1">
        <v>10865</v>
      </c>
      <c r="H9" s="9"/>
      <c r="I9" s="1">
        <v>686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0.158</v>
      </c>
      <c r="F10" s="1"/>
      <c r="G10" s="1">
        <v>13188</v>
      </c>
      <c r="H10" s="9"/>
      <c r="I10" s="1">
        <v>936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0.142</v>
      </c>
      <c r="F11" s="1"/>
      <c r="G11" s="1">
        <v>16102</v>
      </c>
      <c r="H11" s="9"/>
      <c r="I11" s="1">
        <v>929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0.139</v>
      </c>
      <c r="F12" s="1"/>
      <c r="G12" s="1">
        <v>18519</v>
      </c>
      <c r="H12" s="9"/>
      <c r="I12" s="1">
        <v>1101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0.124</v>
      </c>
      <c r="F13" s="1"/>
      <c r="G13" s="1">
        <v>21300</v>
      </c>
      <c r="H13" s="9"/>
      <c r="I13" s="1">
        <v>1186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0.12</v>
      </c>
      <c r="F14" s="1"/>
      <c r="G14" s="1">
        <v>24724</v>
      </c>
      <c r="H14" s="9"/>
      <c r="I14" s="1">
        <v>1347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0.127</v>
      </c>
      <c r="F15" s="1"/>
      <c r="G15" s="1">
        <v>26692</v>
      </c>
      <c r="H15" s="9"/>
      <c r="I15" s="1">
        <v>1486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0.111</v>
      </c>
      <c r="F16" s="1"/>
      <c r="G16" s="1">
        <v>28733</v>
      </c>
      <c r="H16" s="9"/>
      <c r="I16" s="1">
        <v>1570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0.105</v>
      </c>
      <c r="F17" s="1"/>
      <c r="G17" s="1">
        <v>31538</v>
      </c>
      <c r="H17" s="9"/>
      <c r="I17" s="1">
        <v>1735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0.082</v>
      </c>
      <c r="F18" s="1"/>
      <c r="G18" s="1">
        <v>33894</v>
      </c>
      <c r="H18" s="9"/>
      <c r="I18" s="1">
        <v>1805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0.118</v>
      </c>
      <c r="F19" s="1"/>
      <c r="G19" s="1">
        <v>36661</v>
      </c>
      <c r="H19" s="9"/>
      <c r="I19" s="1">
        <v>1780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0.065</v>
      </c>
      <c r="F20" s="1"/>
      <c r="G20" s="1">
        <v>39024</v>
      </c>
      <c r="H20" s="9"/>
      <c r="I20" s="1">
        <v>1668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0.039</v>
      </c>
      <c r="F21" s="1"/>
      <c r="G21" s="1">
        <v>40802</v>
      </c>
      <c r="H21" s="10"/>
      <c r="I21" s="1">
        <v>1674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0.026</v>
      </c>
      <c r="F22" s="1"/>
      <c r="G22" s="1">
        <v>42251</v>
      </c>
      <c r="H22" s="9"/>
      <c r="I22" s="1">
        <v>1700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0.015</v>
      </c>
      <c r="F23" s="1"/>
      <c r="G23" s="12">
        <v>43188</v>
      </c>
      <c r="H23" s="9"/>
      <c r="I23" s="1">
        <v>1474</v>
      </c>
      <c r="J23" s="1"/>
      <c r="K23" s="2"/>
    </row>
    <row r="24" spans="1:11">
      <c r="A24" s="2">
        <v>18</v>
      </c>
      <c r="B24" s="13"/>
      <c r="C24" s="13"/>
      <c r="D24" s="13"/>
      <c r="E24" s="2">
        <v>0.005</v>
      </c>
      <c r="F24" s="2"/>
      <c r="G24" s="2">
        <v>43540</v>
      </c>
      <c r="H24" s="2"/>
      <c r="I24" s="2">
        <v>560</v>
      </c>
      <c r="J24" s="13"/>
      <c r="K24" s="13"/>
    </row>
    <row r="25" spans="1:11">
      <c r="A25" s="2">
        <v>19</v>
      </c>
      <c r="B25" s="13"/>
      <c r="C25" s="13"/>
      <c r="D25" s="13"/>
      <c r="E25" s="2"/>
      <c r="F25" s="2"/>
      <c r="G25" s="2"/>
      <c r="H25" s="2"/>
      <c r="I25" s="2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N20" sqref="N20"/>
    </sheetView>
  </sheetViews>
  <sheetFormatPr defaultColWidth="9.02654867256637" defaultRowHeight="12.75"/>
  <sheetData>
    <row r="2" ht="13.85" spans="1:8">
      <c r="A2" s="1" t="s">
        <v>183</v>
      </c>
      <c r="B2" s="1">
        <v>2228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0.132</v>
      </c>
      <c r="F6" s="1"/>
      <c r="G6" s="1">
        <v>5368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0.198</v>
      </c>
      <c r="F7" s="1"/>
      <c r="G7" s="1">
        <v>6209</v>
      </c>
      <c r="H7" s="9"/>
      <c r="I7" s="1">
        <v>511</v>
      </c>
      <c r="J7" s="1"/>
      <c r="K7" s="2"/>
    </row>
    <row r="8" ht="13.85" spans="1:11">
      <c r="A8" s="2">
        <v>2</v>
      </c>
      <c r="B8" s="2"/>
      <c r="C8" s="1"/>
      <c r="D8" s="1"/>
      <c r="E8" s="9">
        <v>0.146</v>
      </c>
      <c r="F8" s="1"/>
      <c r="G8" s="1">
        <v>8199</v>
      </c>
      <c r="H8" s="9"/>
      <c r="I8" s="1">
        <v>608</v>
      </c>
      <c r="J8" s="1"/>
      <c r="K8" s="2"/>
    </row>
    <row r="9" ht="13.85" spans="1:11">
      <c r="A9" s="2">
        <v>3</v>
      </c>
      <c r="B9" s="2"/>
      <c r="C9" s="1"/>
      <c r="D9" s="1"/>
      <c r="E9" s="9">
        <v>0.16</v>
      </c>
      <c r="F9" s="1"/>
      <c r="G9" s="1">
        <v>10869</v>
      </c>
      <c r="H9" s="9"/>
      <c r="I9" s="1">
        <v>764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0.155</v>
      </c>
      <c r="F10" s="1"/>
      <c r="G10" s="1">
        <v>13097</v>
      </c>
      <c r="H10" s="9"/>
      <c r="I10" s="1">
        <v>843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0.142</v>
      </c>
      <c r="F11" s="1"/>
      <c r="G11" s="1">
        <v>15595</v>
      </c>
      <c r="H11" s="9"/>
      <c r="I11" s="1">
        <v>998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0.156</v>
      </c>
      <c r="F12" s="1"/>
      <c r="G12" s="1">
        <v>17557</v>
      </c>
      <c r="H12" s="9"/>
      <c r="I12" s="1">
        <v>1116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0.158</v>
      </c>
      <c r="F13" s="1"/>
      <c r="G13" s="1">
        <v>20280</v>
      </c>
      <c r="H13" s="9"/>
      <c r="I13" s="1">
        <v>1262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0.16</v>
      </c>
      <c r="F14" s="1"/>
      <c r="G14" s="1">
        <v>23226</v>
      </c>
      <c r="H14" s="9"/>
      <c r="I14" s="1">
        <v>1304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0.117</v>
      </c>
      <c r="F15" s="1"/>
      <c r="G15" s="1">
        <v>25901</v>
      </c>
      <c r="H15" s="9"/>
      <c r="I15" s="1">
        <v>1287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0.05</v>
      </c>
      <c r="F16" s="1"/>
      <c r="G16" s="1">
        <v>28362</v>
      </c>
      <c r="H16" s="9"/>
      <c r="I16" s="1">
        <v>1367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0.093</v>
      </c>
      <c r="F17" s="1"/>
      <c r="G17" s="1">
        <v>30967</v>
      </c>
      <c r="H17" s="9"/>
      <c r="I17" s="1">
        <v>1668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0.12</v>
      </c>
      <c r="F18" s="1"/>
      <c r="G18" s="1">
        <v>33775</v>
      </c>
      <c r="H18" s="9"/>
      <c r="I18" s="1">
        <v>1818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0.111</v>
      </c>
      <c r="F19" s="1"/>
      <c r="G19" s="1">
        <v>36204</v>
      </c>
      <c r="H19" s="9"/>
      <c r="I19" s="1">
        <v>1713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0.065</v>
      </c>
      <c r="F20" s="1"/>
      <c r="G20" s="1">
        <v>39353</v>
      </c>
      <c r="H20" s="9"/>
      <c r="I20" s="1">
        <v>1761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0.07</v>
      </c>
      <c r="F21" s="1"/>
      <c r="G21" s="1">
        <v>41381</v>
      </c>
      <c r="H21" s="10"/>
      <c r="I21" s="1">
        <v>1763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0.073</v>
      </c>
      <c r="F22" s="1"/>
      <c r="G22" s="1">
        <v>42683</v>
      </c>
      <c r="H22" s="9"/>
      <c r="I22" s="1">
        <v>1722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0.062</v>
      </c>
      <c r="F23" s="1"/>
      <c r="G23" s="12">
        <v>44163</v>
      </c>
      <c r="H23" s="9"/>
      <c r="I23" s="1">
        <v>1498</v>
      </c>
      <c r="J23" s="1"/>
      <c r="K23" s="2"/>
    </row>
    <row r="24" spans="1:11">
      <c r="A24" s="2">
        <v>18</v>
      </c>
      <c r="B24" s="13"/>
      <c r="C24" s="13"/>
      <c r="D24" s="13"/>
      <c r="E24" s="2">
        <v>0.008</v>
      </c>
      <c r="F24" s="2"/>
      <c r="G24" s="2">
        <v>44488</v>
      </c>
      <c r="H24" s="13"/>
      <c r="I24" s="2">
        <v>684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C1" workbookViewId="0">
      <selection activeCell="G24" sqref="G24"/>
    </sheetView>
  </sheetViews>
  <sheetFormatPr defaultColWidth="9.02654867256637" defaultRowHeight="12.75"/>
  <sheetData>
    <row r="2" ht="13.85" spans="1:8">
      <c r="A2" s="1" t="s">
        <v>183</v>
      </c>
      <c r="B2" s="1">
        <v>2229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0.167</v>
      </c>
      <c r="F6" s="1"/>
      <c r="G6" s="1">
        <v>6038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0.199</v>
      </c>
      <c r="F7" s="1"/>
      <c r="G7" s="1">
        <v>6756</v>
      </c>
      <c r="H7" s="9"/>
      <c r="I7" s="1">
        <v>398</v>
      </c>
      <c r="J7" s="1"/>
      <c r="K7" s="2"/>
    </row>
    <row r="8" ht="13.85" spans="1:11">
      <c r="A8" s="2">
        <v>2</v>
      </c>
      <c r="B8" s="2"/>
      <c r="C8" s="1"/>
      <c r="D8" s="1"/>
      <c r="E8" s="9">
        <v>0.177</v>
      </c>
      <c r="F8" s="1"/>
      <c r="G8" s="1">
        <v>8531</v>
      </c>
      <c r="H8" s="9"/>
      <c r="I8" s="1">
        <v>546</v>
      </c>
      <c r="J8" s="1"/>
      <c r="K8" s="2"/>
    </row>
    <row r="9" ht="13.85" spans="1:11">
      <c r="A9" s="2">
        <v>3</v>
      </c>
      <c r="B9" s="2"/>
      <c r="C9" s="1"/>
      <c r="D9" s="1"/>
      <c r="E9" s="9">
        <v>0.163</v>
      </c>
      <c r="F9" s="1"/>
      <c r="G9" s="1">
        <v>11016</v>
      </c>
      <c r="H9" s="9"/>
      <c r="I9" s="1">
        <v>740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0.178</v>
      </c>
      <c r="F10" s="1"/>
      <c r="G10" s="1">
        <v>13193</v>
      </c>
      <c r="H10" s="9"/>
      <c r="I10" s="1">
        <v>897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0.181</v>
      </c>
      <c r="F11" s="1"/>
      <c r="G11" s="1">
        <v>15319</v>
      </c>
      <c r="H11" s="9"/>
      <c r="I11" s="1">
        <v>954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0.163</v>
      </c>
      <c r="F12" s="1"/>
      <c r="G12" s="1">
        <v>17303</v>
      </c>
      <c r="H12" s="9"/>
      <c r="I12" s="1">
        <v>1000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0.145</v>
      </c>
      <c r="F13" s="1"/>
      <c r="G13" s="1">
        <v>19129</v>
      </c>
      <c r="H13" s="9"/>
      <c r="I13" s="1">
        <v>998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0.133</v>
      </c>
      <c r="F14" s="1"/>
      <c r="G14" s="1">
        <v>21760</v>
      </c>
      <c r="H14" s="9"/>
      <c r="I14" s="1">
        <v>1245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0.136</v>
      </c>
      <c r="F15" s="1"/>
      <c r="G15" s="1">
        <v>23968</v>
      </c>
      <c r="H15" s="9"/>
      <c r="I15" s="1">
        <v>1310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0.113</v>
      </c>
      <c r="F16" s="1"/>
      <c r="G16" s="1">
        <v>25868</v>
      </c>
      <c r="H16" s="9"/>
      <c r="I16" s="1">
        <v>1417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0.108</v>
      </c>
      <c r="F17" s="1"/>
      <c r="G17" s="1">
        <v>28438</v>
      </c>
      <c r="H17" s="9"/>
      <c r="I17" s="1">
        <v>1516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0.099</v>
      </c>
      <c r="F18" s="1"/>
      <c r="G18" s="1">
        <v>31411</v>
      </c>
      <c r="H18" s="9"/>
      <c r="I18" s="1">
        <v>1492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0.093</v>
      </c>
      <c r="F19" s="1"/>
      <c r="G19" s="1">
        <v>32944</v>
      </c>
      <c r="H19" s="9"/>
      <c r="I19" s="1">
        <v>1624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0.092</v>
      </c>
      <c r="F20" s="1"/>
      <c r="G20" s="1">
        <v>35343</v>
      </c>
      <c r="H20" s="9"/>
      <c r="I20" s="1">
        <v>1771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0.063</v>
      </c>
      <c r="F21" s="1"/>
      <c r="G21" s="1">
        <v>38164</v>
      </c>
      <c r="H21" s="10"/>
      <c r="I21" s="1">
        <v>1726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0.047</v>
      </c>
      <c r="F22" s="1"/>
      <c r="G22" s="1">
        <v>39640</v>
      </c>
      <c r="H22" s="9"/>
      <c r="I22" s="1">
        <v>1577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0.065</v>
      </c>
      <c r="F23" s="1"/>
      <c r="G23" s="12">
        <v>41731</v>
      </c>
      <c r="H23" s="9"/>
      <c r="I23" s="1">
        <v>1583</v>
      </c>
      <c r="J23" s="1"/>
      <c r="K23" s="2"/>
    </row>
    <row r="24" spans="1:11">
      <c r="A24" s="2">
        <v>18</v>
      </c>
      <c r="B24" s="13"/>
      <c r="C24" s="13"/>
      <c r="D24" s="13"/>
      <c r="E24" s="2">
        <v>0.048</v>
      </c>
      <c r="F24" s="2"/>
      <c r="G24" s="2">
        <v>42804</v>
      </c>
      <c r="H24" s="13"/>
      <c r="I24" s="2">
        <v>1315</v>
      </c>
      <c r="J24" s="13"/>
      <c r="K24" s="13"/>
    </row>
    <row r="25" spans="1:11">
      <c r="A25" s="2">
        <v>19</v>
      </c>
      <c r="B25" s="13"/>
      <c r="C25" s="13"/>
      <c r="D25" s="13"/>
      <c r="E25" s="2">
        <v>0.005</v>
      </c>
      <c r="F25" s="2"/>
      <c r="G25" s="2">
        <v>42978</v>
      </c>
      <c r="H25" s="2"/>
      <c r="I25" s="2">
        <v>891</v>
      </c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O14" sqref="O14"/>
    </sheetView>
  </sheetViews>
  <sheetFormatPr defaultColWidth="9.02654867256637" defaultRowHeight="12.75"/>
  <sheetData>
    <row r="2" ht="13.85" spans="1:8">
      <c r="A2" s="1" t="s">
        <v>183</v>
      </c>
      <c r="B2" s="1">
        <v>2223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0.144</v>
      </c>
      <c r="F6" s="1"/>
      <c r="G6" s="1">
        <v>4818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0.161</v>
      </c>
      <c r="F7" s="1"/>
      <c r="G7" s="1">
        <v>5714</v>
      </c>
      <c r="H7" s="9"/>
      <c r="I7" s="1">
        <v>580</v>
      </c>
      <c r="J7" s="1"/>
      <c r="K7" s="2"/>
    </row>
    <row r="8" ht="13.85" spans="1:11">
      <c r="A8" s="2">
        <v>2</v>
      </c>
      <c r="B8" s="2"/>
      <c r="C8" s="1"/>
      <c r="D8" s="1"/>
      <c r="E8" s="9">
        <v>0.173</v>
      </c>
      <c r="F8" s="1"/>
      <c r="G8" s="1">
        <v>71101</v>
      </c>
      <c r="H8" s="9"/>
      <c r="I8" s="1">
        <v>702</v>
      </c>
      <c r="J8" s="1"/>
      <c r="K8" s="2"/>
    </row>
    <row r="9" ht="13.85" spans="1:11">
      <c r="A9" s="2">
        <v>3</v>
      </c>
      <c r="B9" s="2"/>
      <c r="C9" s="1"/>
      <c r="D9" s="1"/>
      <c r="E9" s="9">
        <v>0.162</v>
      </c>
      <c r="F9" s="1"/>
      <c r="G9" s="1">
        <v>9153</v>
      </c>
      <c r="H9" s="9"/>
      <c r="I9" s="1">
        <v>845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0.15</v>
      </c>
      <c r="F10" s="1"/>
      <c r="G10" s="1">
        <v>11783</v>
      </c>
      <c r="H10" s="9"/>
      <c r="I10" s="1">
        <v>861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0.133</v>
      </c>
      <c r="F11" s="1"/>
      <c r="G11" s="1">
        <v>14322</v>
      </c>
      <c r="H11" s="9"/>
      <c r="I11" s="1">
        <v>1111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0.101</v>
      </c>
      <c r="F12" s="1"/>
      <c r="G12" s="1">
        <v>17390</v>
      </c>
      <c r="H12" s="9"/>
      <c r="I12" s="1">
        <v>1188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0.096</v>
      </c>
      <c r="F13" s="1"/>
      <c r="G13" s="1">
        <v>20204</v>
      </c>
      <c r="H13" s="9"/>
      <c r="I13" s="1">
        <v>1232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0.115</v>
      </c>
      <c r="F14" s="1"/>
      <c r="G14" s="1">
        <v>23701</v>
      </c>
      <c r="H14" s="9"/>
      <c r="I14" s="1">
        <v>1570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0.119</v>
      </c>
      <c r="F15" s="1"/>
      <c r="G15" s="1">
        <v>26680</v>
      </c>
      <c r="H15" s="9"/>
      <c r="I15" s="1">
        <v>1648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0.069</v>
      </c>
      <c r="F16" s="1"/>
      <c r="G16" s="1">
        <v>28968</v>
      </c>
      <c r="H16" s="9"/>
      <c r="I16" s="1">
        <v>1631</v>
      </c>
      <c r="J16" s="1"/>
      <c r="K16" s="2"/>
    </row>
    <row r="17" ht="13.85" spans="1:11">
      <c r="A17" s="2">
        <v>11</v>
      </c>
      <c r="B17" s="2"/>
      <c r="C17" s="1"/>
      <c r="D17" s="1"/>
      <c r="E17" s="1">
        <v>0.095</v>
      </c>
      <c r="F17" s="1"/>
      <c r="G17" s="1">
        <v>32179</v>
      </c>
      <c r="H17" s="9"/>
      <c r="I17" s="1">
        <v>1953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0.107</v>
      </c>
      <c r="F18" s="1"/>
      <c r="G18" s="1">
        <v>34287</v>
      </c>
      <c r="H18" s="9"/>
      <c r="I18" s="1">
        <v>1683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0.096</v>
      </c>
      <c r="F19" s="1"/>
      <c r="G19" s="1">
        <v>37012</v>
      </c>
      <c r="H19" s="9"/>
      <c r="I19" s="1">
        <v>1690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0.08</v>
      </c>
      <c r="F20" s="1"/>
      <c r="G20" s="1">
        <v>38640</v>
      </c>
      <c r="H20" s="9"/>
      <c r="I20" s="1">
        <v>1606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0.048</v>
      </c>
      <c r="F21" s="1"/>
      <c r="G21" s="1">
        <v>40898</v>
      </c>
      <c r="H21" s="10"/>
      <c r="I21" s="1">
        <v>1889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0.02</v>
      </c>
      <c r="F22" s="1"/>
      <c r="G22" s="1">
        <v>42361</v>
      </c>
      <c r="H22" s="9"/>
      <c r="I22" s="1">
        <v>1766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0.002</v>
      </c>
      <c r="F23" s="1"/>
      <c r="G23" s="12">
        <v>42706</v>
      </c>
      <c r="H23" s="9"/>
      <c r="I23" s="1">
        <v>748</v>
      </c>
      <c r="J23" s="1"/>
      <c r="K23" s="2"/>
    </row>
    <row r="24" spans="1:11">
      <c r="A24" s="2">
        <v>18</v>
      </c>
      <c r="B24" s="13"/>
      <c r="C24" s="13"/>
      <c r="D24" s="13"/>
      <c r="E24" s="2"/>
      <c r="F24" s="2"/>
      <c r="G24" s="2"/>
      <c r="H24" s="13"/>
      <c r="I24" s="2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O14" sqref="O14"/>
    </sheetView>
  </sheetViews>
  <sheetFormatPr defaultColWidth="9.02654867256637" defaultRowHeight="12.75"/>
  <sheetData>
    <row r="2" ht="13.85" spans="1:8">
      <c r="A2" s="1" t="s">
        <v>183</v>
      </c>
      <c r="B2" s="1">
        <v>2227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0.148</v>
      </c>
      <c r="F6" s="1"/>
      <c r="G6" s="1">
        <v>5512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0.186</v>
      </c>
      <c r="F7" s="1"/>
      <c r="G7" s="1">
        <v>5893</v>
      </c>
      <c r="H7" s="9"/>
      <c r="I7" s="1">
        <v>528</v>
      </c>
      <c r="J7" s="1"/>
      <c r="K7" s="2"/>
    </row>
    <row r="8" ht="13.85" spans="1:11">
      <c r="A8" s="2">
        <v>2</v>
      </c>
      <c r="B8" s="2"/>
      <c r="C8" s="1"/>
      <c r="D8" s="1"/>
      <c r="E8" s="9">
        <v>0.184</v>
      </c>
      <c r="F8" s="1"/>
      <c r="G8" s="1">
        <v>8217</v>
      </c>
      <c r="H8" s="9"/>
      <c r="I8" s="1">
        <v>680</v>
      </c>
      <c r="J8" s="1"/>
      <c r="K8" s="2"/>
    </row>
    <row r="9" ht="13.85" spans="1:11">
      <c r="A9" s="2">
        <v>3</v>
      </c>
      <c r="B9" s="2"/>
      <c r="C9" s="1"/>
      <c r="D9" s="1"/>
      <c r="E9" s="9">
        <v>0.166</v>
      </c>
      <c r="F9" s="1"/>
      <c r="G9" s="1">
        <v>11033</v>
      </c>
      <c r="H9" s="9"/>
      <c r="I9" s="1">
        <v>758</v>
      </c>
      <c r="J9" s="1"/>
      <c r="K9" s="2"/>
    </row>
    <row r="10" ht="14.6" spans="1:11">
      <c r="A10" s="2">
        <v>4</v>
      </c>
      <c r="B10" s="2"/>
      <c r="C10" s="1"/>
      <c r="D10" s="1"/>
      <c r="E10" s="17">
        <v>0.12</v>
      </c>
      <c r="F10" s="1"/>
      <c r="G10" s="1">
        <v>13483</v>
      </c>
      <c r="H10" s="9"/>
      <c r="I10" s="1">
        <v>927</v>
      </c>
      <c r="J10" s="1"/>
      <c r="K10" s="2"/>
    </row>
    <row r="11" ht="14.6" spans="1:11">
      <c r="A11" s="2">
        <v>5</v>
      </c>
      <c r="B11" s="2"/>
      <c r="C11" s="1"/>
      <c r="D11" s="1"/>
      <c r="E11" s="17">
        <v>0.11</v>
      </c>
      <c r="F11" s="1"/>
      <c r="G11" s="1">
        <v>16032</v>
      </c>
      <c r="H11" s="9"/>
      <c r="I11" s="1">
        <v>1079</v>
      </c>
      <c r="J11" s="1"/>
      <c r="K11" s="2"/>
    </row>
    <row r="12" ht="14.6" spans="1:11">
      <c r="A12" s="2">
        <v>6</v>
      </c>
      <c r="B12" s="2"/>
      <c r="C12" s="1"/>
      <c r="D12" s="1"/>
      <c r="E12" s="17">
        <v>0.1</v>
      </c>
      <c r="F12" s="1"/>
      <c r="G12" s="1">
        <v>18746</v>
      </c>
      <c r="H12" s="9"/>
      <c r="I12" s="1">
        <v>1210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0.096</v>
      </c>
      <c r="F13" s="1"/>
      <c r="G13" s="1">
        <v>22659</v>
      </c>
      <c r="H13" s="9"/>
      <c r="I13" s="1">
        <v>1366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0.111</v>
      </c>
      <c r="F14" s="1"/>
      <c r="G14" s="1">
        <v>24667</v>
      </c>
      <c r="H14" s="9"/>
      <c r="I14" s="1">
        <v>1570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0.116</v>
      </c>
      <c r="F15" s="1"/>
      <c r="G15" s="1">
        <v>27347</v>
      </c>
      <c r="H15" s="9"/>
      <c r="I15" s="1">
        <v>1745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0.078</v>
      </c>
      <c r="F16" s="1"/>
      <c r="G16" s="1">
        <v>29764</v>
      </c>
      <c r="H16" s="9"/>
      <c r="I16" s="1">
        <v>1737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0.104</v>
      </c>
      <c r="F17" s="1"/>
      <c r="G17" s="1">
        <v>32512</v>
      </c>
      <c r="H17" s="9"/>
      <c r="I17" s="1">
        <v>1759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0.075</v>
      </c>
      <c r="F18" s="1"/>
      <c r="G18" s="1">
        <v>35086</v>
      </c>
      <c r="H18" s="9"/>
      <c r="I18" s="1">
        <v>1656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0.092</v>
      </c>
      <c r="F19" s="1"/>
      <c r="G19" s="1">
        <v>37210</v>
      </c>
      <c r="H19" s="9"/>
      <c r="I19" s="1">
        <v>1714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0.056</v>
      </c>
      <c r="F20" s="1"/>
      <c r="G20" s="1">
        <v>39546</v>
      </c>
      <c r="H20" s="9"/>
      <c r="I20" s="1">
        <v>1711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0.028</v>
      </c>
      <c r="F21" s="1"/>
      <c r="G21" s="1">
        <v>41959</v>
      </c>
      <c r="H21" s="10"/>
      <c r="I21" s="1">
        <v>1880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0.016</v>
      </c>
      <c r="F22" s="1"/>
      <c r="G22" s="1">
        <v>43552</v>
      </c>
      <c r="H22" s="9"/>
      <c r="I22" s="1">
        <v>1697</v>
      </c>
      <c r="J22" s="1"/>
      <c r="K22" s="2"/>
    </row>
    <row r="23" ht="13.85" spans="1:11">
      <c r="A23" s="2">
        <v>17</v>
      </c>
      <c r="B23" s="2"/>
      <c r="C23" s="1"/>
      <c r="D23" s="1"/>
      <c r="E23" s="9">
        <v>0.039</v>
      </c>
      <c r="F23" s="1"/>
      <c r="G23" s="12">
        <v>43899</v>
      </c>
      <c r="H23" s="9"/>
      <c r="I23" s="1">
        <v>719</v>
      </c>
      <c r="J23" s="1"/>
      <c r="K23" s="2"/>
    </row>
    <row r="24" spans="1:11">
      <c r="A24" s="2">
        <v>18</v>
      </c>
      <c r="B24" s="13"/>
      <c r="C24" s="13"/>
      <c r="D24" s="13"/>
      <c r="E24" s="2"/>
      <c r="F24" s="2"/>
      <c r="G24" s="2"/>
      <c r="H24" s="13"/>
      <c r="I24" s="2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H28" sqref="H28"/>
    </sheetView>
  </sheetViews>
  <sheetFormatPr defaultColWidth="9.02654867256637" defaultRowHeight="12.75"/>
  <sheetData>
    <row r="2" ht="13.85" spans="1:8">
      <c r="A2" s="1" t="s">
        <v>183</v>
      </c>
      <c r="B2" s="1">
        <v>2222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0.133</v>
      </c>
      <c r="F6" s="1"/>
      <c r="G6" s="1">
        <v>5368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0.165</v>
      </c>
      <c r="F7" s="1"/>
      <c r="G7" s="1">
        <v>6319</v>
      </c>
      <c r="H7" s="9"/>
      <c r="I7" s="1">
        <v>541</v>
      </c>
      <c r="J7" s="1"/>
      <c r="K7" s="2"/>
    </row>
    <row r="8" ht="13.85" spans="1:11">
      <c r="A8" s="2">
        <v>2</v>
      </c>
      <c r="B8" s="2"/>
      <c r="C8" s="1"/>
      <c r="D8" s="1"/>
      <c r="E8" s="9">
        <v>0.162</v>
      </c>
      <c r="F8" s="1"/>
      <c r="G8" s="1">
        <v>8163</v>
      </c>
      <c r="H8" s="9"/>
      <c r="I8" s="1">
        <v>700</v>
      </c>
      <c r="J8" s="1"/>
      <c r="K8" s="2"/>
    </row>
    <row r="9" ht="13.85" spans="1:11">
      <c r="A9" s="2">
        <v>3</v>
      </c>
      <c r="B9" s="2"/>
      <c r="C9" s="1"/>
      <c r="D9" s="1"/>
      <c r="E9" s="9">
        <v>0.163</v>
      </c>
      <c r="F9" s="1"/>
      <c r="G9" s="1">
        <v>10611</v>
      </c>
      <c r="H9" s="9"/>
      <c r="I9" s="1">
        <v>865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0.148</v>
      </c>
      <c r="F10" s="1"/>
      <c r="G10" s="1">
        <v>12768</v>
      </c>
      <c r="H10" s="9"/>
      <c r="I10" s="1">
        <v>944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0.144</v>
      </c>
      <c r="F11" s="1"/>
      <c r="G11" s="1">
        <v>15215</v>
      </c>
      <c r="H11" s="9"/>
      <c r="I11" s="1">
        <v>1102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0.154</v>
      </c>
      <c r="F12" s="1"/>
      <c r="G12" s="1">
        <v>1773</v>
      </c>
      <c r="H12" s="9"/>
      <c r="I12" s="1">
        <v>1209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0.114</v>
      </c>
      <c r="F13" s="1"/>
      <c r="G13" s="1">
        <v>20467</v>
      </c>
      <c r="H13" s="9"/>
      <c r="I13" s="1">
        <v>1317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0.116</v>
      </c>
      <c r="F14" s="1"/>
      <c r="G14" s="1">
        <v>23646</v>
      </c>
      <c r="H14" s="9"/>
      <c r="I14" s="1">
        <v>1513</v>
      </c>
      <c r="J14" s="1"/>
      <c r="K14" s="2"/>
    </row>
    <row r="15" ht="13.85" spans="1:11">
      <c r="A15" s="2">
        <v>9</v>
      </c>
      <c r="B15" s="2"/>
      <c r="C15" s="1"/>
      <c r="D15" s="1"/>
      <c r="E15" s="15">
        <v>0.105</v>
      </c>
      <c r="F15" s="1"/>
      <c r="G15" s="1">
        <v>26006</v>
      </c>
      <c r="H15" s="9"/>
      <c r="I15" s="1">
        <v>1569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0.082</v>
      </c>
      <c r="F16" s="1"/>
      <c r="G16" s="1">
        <v>29113</v>
      </c>
      <c r="H16" s="9"/>
      <c r="I16" s="1">
        <v>1743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0.088</v>
      </c>
      <c r="F17" s="1"/>
      <c r="G17" s="1">
        <v>32578</v>
      </c>
      <c r="H17" s="9"/>
      <c r="I17" s="1">
        <v>1967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0.094</v>
      </c>
      <c r="F18" s="1"/>
      <c r="G18" s="1">
        <v>35681</v>
      </c>
      <c r="H18" s="9"/>
      <c r="I18" s="1">
        <v>1992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0.105</v>
      </c>
      <c r="F19" s="1"/>
      <c r="G19" s="1">
        <v>38070</v>
      </c>
      <c r="H19" s="9"/>
      <c r="I19" s="1">
        <v>1715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0.07</v>
      </c>
      <c r="F20" s="1"/>
      <c r="G20" s="1">
        <v>42344</v>
      </c>
      <c r="H20" s="9"/>
      <c r="I20" s="1">
        <v>1761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0.036</v>
      </c>
      <c r="F21" s="1"/>
      <c r="G21" s="1">
        <v>42218</v>
      </c>
      <c r="H21" s="10"/>
      <c r="I21" s="1">
        <v>1964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0.018</v>
      </c>
      <c r="F22" s="1"/>
      <c r="G22" s="1">
        <v>43941</v>
      </c>
      <c r="H22" s="9"/>
      <c r="I22" s="1">
        <v>1464</v>
      </c>
      <c r="J22" s="1"/>
      <c r="K22" s="2"/>
    </row>
    <row r="23" ht="13.85" spans="1:11">
      <c r="A23" s="2">
        <v>17</v>
      </c>
      <c r="B23" s="2"/>
      <c r="C23" s="1"/>
      <c r="D23" s="1"/>
      <c r="E23" s="9">
        <v>0.005</v>
      </c>
      <c r="F23" s="1"/>
      <c r="G23" s="12">
        <v>44015</v>
      </c>
      <c r="H23" s="9"/>
      <c r="I23" s="2">
        <v>347</v>
      </c>
      <c r="J23" s="1"/>
      <c r="K23" s="2"/>
    </row>
    <row r="24" spans="1:11">
      <c r="A24" s="2">
        <v>18</v>
      </c>
      <c r="B24" s="13"/>
      <c r="C24" s="13"/>
      <c r="D24" s="13"/>
      <c r="E24" s="2"/>
      <c r="F24" s="2"/>
      <c r="G24" s="2"/>
      <c r="H24" s="13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E8" sqref="E8"/>
    </sheetView>
  </sheetViews>
  <sheetFormatPr defaultColWidth="9.02654867256637" defaultRowHeight="12.75"/>
  <sheetData>
    <row r="2" ht="13.85" spans="1:8">
      <c r="A2" s="1" t="s">
        <v>183</v>
      </c>
      <c r="B2" s="1">
        <v>2224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0.135</v>
      </c>
      <c r="F6" s="1"/>
      <c r="G6" s="1">
        <v>5310</v>
      </c>
      <c r="H6" s="1"/>
      <c r="J6" s="1">
        <v>300</v>
      </c>
      <c r="K6" s="13"/>
    </row>
    <row r="7" ht="14.6" spans="1:11">
      <c r="A7" s="2">
        <v>1</v>
      </c>
      <c r="B7" s="2"/>
      <c r="C7" s="1"/>
      <c r="D7" s="1"/>
      <c r="E7" s="16">
        <v>0.175</v>
      </c>
      <c r="F7" s="1"/>
      <c r="G7" s="1">
        <v>6312</v>
      </c>
      <c r="H7" s="9"/>
      <c r="I7" s="1">
        <v>594</v>
      </c>
      <c r="J7" s="1"/>
      <c r="K7" s="2"/>
    </row>
    <row r="8" ht="13.85" spans="1:11">
      <c r="A8" s="2">
        <v>2</v>
      </c>
      <c r="B8" s="2"/>
      <c r="C8" s="1"/>
      <c r="D8" s="1"/>
      <c r="E8" s="9">
        <v>0.201</v>
      </c>
      <c r="F8" s="1"/>
      <c r="G8" s="1">
        <v>8887</v>
      </c>
      <c r="H8" s="9"/>
      <c r="I8" s="1">
        <v>617</v>
      </c>
      <c r="J8" s="1"/>
      <c r="K8" s="2"/>
    </row>
    <row r="9" ht="13.85" spans="1:11">
      <c r="A9" s="2">
        <v>3</v>
      </c>
      <c r="B9" s="2"/>
      <c r="C9" s="1"/>
      <c r="D9" s="1"/>
      <c r="E9" s="9">
        <v>0.173</v>
      </c>
      <c r="F9" s="1"/>
      <c r="G9" s="1">
        <v>11407</v>
      </c>
      <c r="H9" s="9"/>
      <c r="I9" s="1">
        <v>750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0.169</v>
      </c>
      <c r="F10" s="1"/>
      <c r="G10" s="1">
        <v>13943</v>
      </c>
      <c r="H10" s="9"/>
      <c r="I10" s="1">
        <v>858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0.193</v>
      </c>
      <c r="F11" s="1"/>
      <c r="G11" s="1">
        <v>15475</v>
      </c>
      <c r="H11" s="9"/>
      <c r="I11" s="1">
        <v>1120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0.205</v>
      </c>
      <c r="F12" s="1"/>
      <c r="G12" s="1">
        <v>18005</v>
      </c>
      <c r="H12" s="9"/>
      <c r="I12" s="1">
        <v>1174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0.188</v>
      </c>
      <c r="F13" s="1"/>
      <c r="G13" s="1">
        <v>20506</v>
      </c>
      <c r="H13" s="9"/>
      <c r="I13" s="1">
        <v>1189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0.148</v>
      </c>
      <c r="F14" s="1"/>
      <c r="G14" s="1">
        <v>25199</v>
      </c>
      <c r="H14" s="9"/>
      <c r="I14" s="1">
        <v>1295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0.133</v>
      </c>
      <c r="F15" s="1"/>
      <c r="G15" s="1">
        <v>26842</v>
      </c>
      <c r="H15" s="9"/>
      <c r="I15" s="1">
        <v>1477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0.162</v>
      </c>
      <c r="F16" s="1"/>
      <c r="G16" s="1">
        <v>29880</v>
      </c>
      <c r="H16" s="9"/>
      <c r="I16" s="1">
        <v>1615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0.128</v>
      </c>
      <c r="F17" s="1"/>
      <c r="G17" s="1">
        <v>32748</v>
      </c>
      <c r="H17" s="9"/>
      <c r="I17" s="1">
        <v>1486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0.09</v>
      </c>
      <c r="F18" s="1"/>
      <c r="G18" s="1">
        <v>35080</v>
      </c>
      <c r="H18" s="9"/>
      <c r="I18" s="1">
        <v>1559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0.123</v>
      </c>
      <c r="F19" s="1"/>
      <c r="G19" s="1">
        <v>37328</v>
      </c>
      <c r="H19" s="9"/>
      <c r="I19" s="1">
        <v>1889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0.13</v>
      </c>
      <c r="F20" s="1"/>
      <c r="G20" s="1">
        <v>40796</v>
      </c>
      <c r="H20" s="9"/>
      <c r="I20" s="1">
        <v>1888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0.096</v>
      </c>
      <c r="F21" s="1"/>
      <c r="G21" s="1">
        <v>43582</v>
      </c>
      <c r="H21" s="10"/>
      <c r="I21" s="1">
        <v>1763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0.094</v>
      </c>
      <c r="F22" s="1"/>
      <c r="G22" s="1">
        <v>45030</v>
      </c>
      <c r="H22" s="9"/>
      <c r="I22" s="1">
        <v>1641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0.009</v>
      </c>
      <c r="F23" s="1"/>
      <c r="G23" s="12">
        <v>45984</v>
      </c>
      <c r="H23" s="9"/>
      <c r="I23" s="2">
        <v>1300</v>
      </c>
      <c r="J23" s="1"/>
      <c r="K23" s="2"/>
    </row>
    <row r="24" spans="1:11">
      <c r="A24" s="2">
        <v>18</v>
      </c>
      <c r="B24" s="13"/>
      <c r="C24" s="13"/>
      <c r="D24" s="13"/>
      <c r="E24" s="2">
        <v>0.025</v>
      </c>
      <c r="F24" s="2"/>
      <c r="G24" s="2">
        <v>46354</v>
      </c>
      <c r="H24" s="13"/>
      <c r="I24" s="2">
        <v>485</v>
      </c>
      <c r="J24" s="13"/>
      <c r="K24" s="13"/>
    </row>
    <row r="25" spans="1:11">
      <c r="A25" s="2">
        <v>19</v>
      </c>
      <c r="B25" s="13"/>
      <c r="C25" s="13"/>
      <c r="D25" s="13"/>
      <c r="E25" s="2"/>
      <c r="F25" s="13"/>
      <c r="G25" s="13"/>
      <c r="H25" s="13"/>
      <c r="J25" s="13"/>
      <c r="K25" s="13"/>
    </row>
    <row r="26" spans="1:11">
      <c r="A26" s="2">
        <v>20</v>
      </c>
      <c r="B26" s="13"/>
      <c r="C26" s="13"/>
      <c r="D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G32" sqref="G32"/>
    </sheetView>
  </sheetViews>
  <sheetFormatPr defaultColWidth="9.02654867256637" defaultRowHeight="12.75"/>
  <sheetData>
    <row r="2" ht="13.85" spans="1:8">
      <c r="A2" s="1" t="s">
        <v>183</v>
      </c>
      <c r="B2" s="1">
        <v>2216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0.153</v>
      </c>
      <c r="F6" s="1"/>
      <c r="G6" s="1">
        <v>5423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0.162</v>
      </c>
      <c r="F7" s="1"/>
      <c r="G7" s="1">
        <v>5990</v>
      </c>
      <c r="H7" s="9"/>
      <c r="I7" s="1">
        <v>549</v>
      </c>
      <c r="J7" s="1"/>
      <c r="K7" s="2"/>
    </row>
    <row r="8" ht="13.85" spans="1:11">
      <c r="A8" s="2">
        <v>2</v>
      </c>
      <c r="B8" s="2"/>
      <c r="C8" s="1"/>
      <c r="D8" s="1"/>
      <c r="E8" s="9">
        <v>0.178</v>
      </c>
      <c r="F8" s="1"/>
      <c r="G8" s="1">
        <v>7627</v>
      </c>
      <c r="H8" s="9"/>
      <c r="I8" s="1">
        <v>579</v>
      </c>
      <c r="J8" s="1"/>
      <c r="K8" s="2"/>
    </row>
    <row r="9" ht="13.85" spans="1:11">
      <c r="A9" s="2">
        <v>3</v>
      </c>
      <c r="B9" s="2"/>
      <c r="C9" s="1"/>
      <c r="D9" s="1"/>
      <c r="E9" s="9">
        <v>0.155</v>
      </c>
      <c r="F9" s="1"/>
      <c r="G9" s="1">
        <v>11328</v>
      </c>
      <c r="H9" s="9"/>
      <c r="I9" s="1">
        <v>825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0.17</v>
      </c>
      <c r="F10" s="1"/>
      <c r="G10" s="1">
        <v>14744</v>
      </c>
      <c r="H10" s="9"/>
      <c r="I10" s="1">
        <v>932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0.049</v>
      </c>
      <c r="F11" s="1"/>
      <c r="G11" s="1">
        <v>16434</v>
      </c>
      <c r="H11" s="9"/>
      <c r="I11" s="1">
        <v>831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0.154</v>
      </c>
      <c r="F12" s="1"/>
      <c r="G12" s="1">
        <v>18916</v>
      </c>
      <c r="H12" s="9"/>
      <c r="I12" s="1">
        <v>1270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0.113</v>
      </c>
      <c r="F13" s="1"/>
      <c r="G13" s="1">
        <v>21384</v>
      </c>
      <c r="H13" s="9"/>
      <c r="I13" s="1">
        <v>1245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0.105</v>
      </c>
      <c r="F14" s="1"/>
      <c r="G14" s="1">
        <v>23925</v>
      </c>
      <c r="H14" s="9"/>
      <c r="I14" s="1">
        <v>1276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0.127</v>
      </c>
      <c r="F15" s="1"/>
      <c r="G15" s="1">
        <v>26218</v>
      </c>
      <c r="H15" s="9"/>
      <c r="I15" s="1">
        <v>1455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0.114</v>
      </c>
      <c r="F16" s="1"/>
      <c r="G16" s="1">
        <v>28846</v>
      </c>
      <c r="H16" s="9"/>
      <c r="I16" s="1">
        <v>1499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0.103</v>
      </c>
      <c r="F17" s="1"/>
      <c r="G17" s="1">
        <v>31662</v>
      </c>
      <c r="H17" s="9"/>
      <c r="I17" s="1">
        <v>1554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0.11</v>
      </c>
      <c r="F18" s="1"/>
      <c r="G18" s="1">
        <v>33962</v>
      </c>
      <c r="H18" s="9"/>
      <c r="I18" s="1">
        <v>1710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0.075</v>
      </c>
      <c r="F19" s="1"/>
      <c r="G19" s="1">
        <v>36438</v>
      </c>
      <c r="H19" s="9"/>
      <c r="I19" s="1">
        <v>1860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0.083</v>
      </c>
      <c r="F20" s="1"/>
      <c r="G20" s="1">
        <v>38581</v>
      </c>
      <c r="H20" s="9"/>
      <c r="I20" s="1">
        <v>1773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0.082</v>
      </c>
      <c r="F21" s="1"/>
      <c r="G21" s="1">
        <v>40754</v>
      </c>
      <c r="H21" s="10"/>
      <c r="I21" s="1">
        <v>1870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0.036</v>
      </c>
      <c r="F22" s="1"/>
      <c r="G22" s="1">
        <v>42775</v>
      </c>
      <c r="H22" s="9"/>
      <c r="I22" s="1">
        <v>1770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0.013</v>
      </c>
      <c r="F23" s="1"/>
      <c r="G23" s="12">
        <v>43766</v>
      </c>
      <c r="H23" s="9"/>
      <c r="I23" s="1">
        <v>1358</v>
      </c>
      <c r="J23" s="1"/>
      <c r="K23" s="2"/>
    </row>
    <row r="24" spans="1:11">
      <c r="A24" s="2">
        <v>18</v>
      </c>
      <c r="B24" s="13"/>
      <c r="C24" s="13"/>
      <c r="D24" s="13"/>
      <c r="E24" s="2">
        <v>0.005</v>
      </c>
      <c r="F24" s="2"/>
      <c r="G24" s="2">
        <v>43766</v>
      </c>
      <c r="H24" s="13"/>
      <c r="I24" s="2">
        <v>404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F7" sqref="F7"/>
    </sheetView>
  </sheetViews>
  <sheetFormatPr defaultColWidth="9.02654867256637" defaultRowHeight="12.75"/>
  <sheetData>
    <row r="2" ht="13.85" spans="1:8">
      <c r="A2" s="1" t="s">
        <v>183</v>
      </c>
      <c r="B2" s="1">
        <v>2221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0.117</v>
      </c>
      <c r="F6" s="1"/>
      <c r="G6" s="1">
        <v>5841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0.161</v>
      </c>
      <c r="F7" s="1"/>
      <c r="G7" s="1">
        <v>6497</v>
      </c>
      <c r="H7" s="9"/>
      <c r="I7" s="1">
        <v>440</v>
      </c>
      <c r="J7" s="1"/>
      <c r="K7" s="2"/>
    </row>
    <row r="8" ht="13.85" spans="1:11">
      <c r="A8" s="2">
        <v>2</v>
      </c>
      <c r="B8" s="2"/>
      <c r="C8" s="1"/>
      <c r="D8" s="1"/>
      <c r="E8" s="9">
        <v>0.124</v>
      </c>
      <c r="F8" s="1"/>
      <c r="G8" s="1">
        <v>9120</v>
      </c>
      <c r="H8" s="9"/>
      <c r="I8" s="1">
        <v>585</v>
      </c>
      <c r="J8" s="1"/>
      <c r="K8" s="2"/>
    </row>
    <row r="9" ht="13.85" spans="1:11">
      <c r="A9" s="2">
        <v>3</v>
      </c>
      <c r="B9" s="2"/>
      <c r="C9" s="1"/>
      <c r="D9" s="1"/>
      <c r="E9" s="9">
        <v>0.12</v>
      </c>
      <c r="F9" s="1"/>
      <c r="G9" s="1">
        <v>10799</v>
      </c>
      <c r="H9" s="9"/>
      <c r="I9" s="1">
        <v>725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0.119</v>
      </c>
      <c r="F10" s="1"/>
      <c r="G10" s="1">
        <v>13371</v>
      </c>
      <c r="H10" s="9"/>
      <c r="I10" s="1">
        <v>952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0.135</v>
      </c>
      <c r="F11" s="1"/>
      <c r="G11" s="1">
        <v>15428</v>
      </c>
      <c r="H11" s="9"/>
      <c r="I11" s="1">
        <v>1142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0.104</v>
      </c>
      <c r="F12" s="1"/>
      <c r="G12" s="1">
        <v>17372</v>
      </c>
      <c r="H12" s="9"/>
      <c r="I12" s="1">
        <v>1010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0.086</v>
      </c>
      <c r="F13" s="1"/>
      <c r="G13" s="1">
        <v>20266</v>
      </c>
      <c r="H13" s="9"/>
      <c r="I13" s="1">
        <v>1158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0.068</v>
      </c>
      <c r="F14" s="1"/>
      <c r="G14" s="1">
        <v>23621</v>
      </c>
      <c r="H14" s="9"/>
      <c r="I14" s="1">
        <v>1367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0.108</v>
      </c>
      <c r="F15" s="1"/>
      <c r="G15" s="1">
        <v>26035</v>
      </c>
      <c r="H15" s="9"/>
      <c r="I15" s="1">
        <v>1725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0.167</v>
      </c>
      <c r="F16" s="1"/>
      <c r="G16" s="1">
        <v>28179</v>
      </c>
      <c r="H16" s="9"/>
      <c r="I16" s="1">
        <v>1529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0.112</v>
      </c>
      <c r="F17" s="1"/>
      <c r="G17" s="1">
        <v>30282</v>
      </c>
      <c r="H17" s="9"/>
      <c r="I17" s="1">
        <v>1491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0.09</v>
      </c>
      <c r="F18" s="1"/>
      <c r="G18" s="1">
        <v>32353</v>
      </c>
      <c r="H18" s="9"/>
      <c r="I18" s="1">
        <v>1738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0.111</v>
      </c>
      <c r="F19" s="1"/>
      <c r="G19" s="1">
        <v>35296</v>
      </c>
      <c r="H19" s="9"/>
      <c r="I19" s="1">
        <v>1877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0.065</v>
      </c>
      <c r="F20" s="1"/>
      <c r="G20" s="1">
        <v>37865</v>
      </c>
      <c r="H20" s="9"/>
      <c r="I20" s="1">
        <v>1859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0.07</v>
      </c>
      <c r="F21" s="1"/>
      <c r="G21" s="1">
        <v>40440</v>
      </c>
      <c r="H21" s="10"/>
      <c r="I21" s="1">
        <v>1820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0.076</v>
      </c>
      <c r="F22" s="1"/>
      <c r="G22" s="1">
        <v>42311</v>
      </c>
      <c r="H22" s="9"/>
      <c r="I22" s="1">
        <v>1738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0.03</v>
      </c>
      <c r="F23" s="1"/>
      <c r="G23" s="12">
        <v>43362</v>
      </c>
      <c r="H23" s="9"/>
      <c r="I23" s="1">
        <v>1213</v>
      </c>
      <c r="J23" s="1"/>
      <c r="K23" s="2"/>
    </row>
    <row r="24" spans="1:11">
      <c r="A24" s="2">
        <v>18</v>
      </c>
      <c r="B24" s="13"/>
      <c r="C24" s="13"/>
      <c r="D24" s="13"/>
      <c r="E24" s="2">
        <v>0.006</v>
      </c>
      <c r="F24" s="2"/>
      <c r="G24" s="2">
        <v>43625</v>
      </c>
      <c r="H24" s="13"/>
      <c r="I24" s="2">
        <v>331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G25" sqref="G25"/>
    </sheetView>
  </sheetViews>
  <sheetFormatPr defaultColWidth="9.02654867256637" defaultRowHeight="12.75"/>
  <sheetData>
    <row r="2" ht="13.85" spans="1:8">
      <c r="A2" s="1" t="s">
        <v>183</v>
      </c>
      <c r="B2" s="1">
        <v>2214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0.141</v>
      </c>
      <c r="F6" s="1"/>
      <c r="G6" s="1">
        <v>6134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0.131</v>
      </c>
      <c r="F7" s="1"/>
      <c r="G7" s="1">
        <v>7714</v>
      </c>
      <c r="H7" s="9"/>
      <c r="I7" s="15">
        <v>469</v>
      </c>
      <c r="J7" s="1"/>
      <c r="K7" s="2"/>
    </row>
    <row r="8" ht="13.85" spans="1:11">
      <c r="A8" s="2">
        <v>2</v>
      </c>
      <c r="B8" s="2"/>
      <c r="C8" s="1"/>
      <c r="D8" s="1"/>
      <c r="E8" s="9">
        <v>0.096</v>
      </c>
      <c r="F8" s="1"/>
      <c r="G8" s="1">
        <v>9201</v>
      </c>
      <c r="H8" s="9"/>
      <c r="I8" s="1">
        <v>660</v>
      </c>
      <c r="J8" s="1"/>
      <c r="K8" s="2"/>
    </row>
    <row r="9" ht="13.85" spans="1:11">
      <c r="A9" s="2">
        <v>3</v>
      </c>
      <c r="B9" s="2"/>
      <c r="C9" s="1"/>
      <c r="D9" s="1"/>
      <c r="E9" s="9">
        <v>0.092</v>
      </c>
      <c r="F9" s="1"/>
      <c r="G9" s="1">
        <v>12757</v>
      </c>
      <c r="H9" s="9"/>
      <c r="I9" s="1">
        <v>805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0.092</v>
      </c>
      <c r="F10" s="1"/>
      <c r="G10" s="1">
        <v>14595</v>
      </c>
      <c r="H10" s="9"/>
      <c r="I10" s="1">
        <v>900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0.081</v>
      </c>
      <c r="F11" s="1"/>
      <c r="G11" s="1">
        <v>16332</v>
      </c>
      <c r="H11" s="9"/>
      <c r="I11" s="1">
        <v>1100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</v>
      </c>
      <c r="F12" s="1"/>
      <c r="G12" s="1">
        <v>19166</v>
      </c>
      <c r="H12" s="9"/>
      <c r="I12" s="1">
        <v>1205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0.093</v>
      </c>
      <c r="F13" s="1"/>
      <c r="G13" s="1">
        <v>21236</v>
      </c>
      <c r="H13" s="9"/>
      <c r="I13" s="1">
        <v>1301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0.11</v>
      </c>
      <c r="F14" s="1"/>
      <c r="G14" s="1">
        <v>23730</v>
      </c>
      <c r="H14" s="9"/>
      <c r="I14" s="1">
        <v>1464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0.092</v>
      </c>
      <c r="F15" s="1"/>
      <c r="G15" s="1">
        <v>25939</v>
      </c>
      <c r="H15" s="9"/>
      <c r="I15" s="1">
        <v>1474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0.077</v>
      </c>
      <c r="F16" s="1"/>
      <c r="G16" s="1">
        <v>28896</v>
      </c>
      <c r="H16" s="9"/>
      <c r="I16" s="1">
        <v>1571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0.089</v>
      </c>
      <c r="F17" s="1"/>
      <c r="G17" s="1">
        <v>31953</v>
      </c>
      <c r="H17" s="9"/>
      <c r="I17" s="1">
        <v>1758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0.069</v>
      </c>
      <c r="F18" s="1"/>
      <c r="G18" s="1">
        <v>34294</v>
      </c>
      <c r="H18" s="9"/>
      <c r="I18" s="1">
        <v>1803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0.069</v>
      </c>
      <c r="F19" s="1"/>
      <c r="G19" s="1">
        <v>36935</v>
      </c>
      <c r="H19" s="9"/>
      <c r="I19" s="1">
        <v>1864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0.082</v>
      </c>
      <c r="F20" s="1"/>
      <c r="G20" s="1">
        <v>39448</v>
      </c>
      <c r="H20" s="9"/>
      <c r="I20" s="1">
        <v>1899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0.05</v>
      </c>
      <c r="F21" s="1"/>
      <c r="G21" s="1">
        <v>41529</v>
      </c>
      <c r="H21" s="10"/>
      <c r="I21" s="1">
        <v>1513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0.088</v>
      </c>
      <c r="F22" s="1"/>
      <c r="G22" s="1">
        <v>43304</v>
      </c>
      <c r="H22" s="9"/>
      <c r="I22" s="1">
        <v>1795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0.088</v>
      </c>
      <c r="F23" s="1"/>
      <c r="G23" s="12">
        <v>44185</v>
      </c>
      <c r="H23" s="9"/>
      <c r="I23" s="1">
        <v>960</v>
      </c>
      <c r="J23" s="1"/>
      <c r="K23" s="2"/>
    </row>
    <row r="24" ht="13.85" spans="1:11">
      <c r="A24" s="2">
        <v>18</v>
      </c>
      <c r="B24" s="13"/>
      <c r="C24" s="13"/>
      <c r="D24" s="13"/>
      <c r="E24" s="2">
        <v>0.085</v>
      </c>
      <c r="F24" s="2"/>
      <c r="G24" s="2">
        <v>44155</v>
      </c>
      <c r="H24" s="13"/>
      <c r="I24" s="1">
        <v>159</v>
      </c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G29" sqref="G29"/>
    </sheetView>
  </sheetViews>
  <sheetFormatPr defaultColWidth="9.02654867256637" defaultRowHeight="12.75"/>
  <sheetData>
    <row r="2" ht="13.85" spans="1:8">
      <c r="A2" s="1" t="s">
        <v>183</v>
      </c>
      <c r="B2" s="1">
        <v>2215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0.131</v>
      </c>
      <c r="F6" s="1"/>
      <c r="G6" s="1">
        <v>5896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0.176</v>
      </c>
      <c r="F7" s="1"/>
      <c r="G7" s="1">
        <v>6910</v>
      </c>
      <c r="H7" s="9"/>
      <c r="I7" s="1">
        <v>570</v>
      </c>
      <c r="J7" s="1"/>
      <c r="K7" s="2"/>
    </row>
    <row r="8" ht="13.85" spans="1:11">
      <c r="A8" s="2">
        <v>2</v>
      </c>
      <c r="B8" s="2"/>
      <c r="C8" s="1"/>
      <c r="D8" s="1"/>
      <c r="E8" s="9">
        <v>0.16</v>
      </c>
      <c r="F8" s="1"/>
      <c r="G8" s="1">
        <v>8779</v>
      </c>
      <c r="H8" s="9"/>
      <c r="I8" s="1">
        <v>615</v>
      </c>
      <c r="J8" s="1"/>
      <c r="K8" s="2"/>
    </row>
    <row r="9" ht="13.85" spans="1:11">
      <c r="A9" s="2">
        <v>3</v>
      </c>
      <c r="B9" s="2"/>
      <c r="C9" s="1"/>
      <c r="D9" s="1"/>
      <c r="E9" s="9">
        <v>0.154</v>
      </c>
      <c r="F9" s="1"/>
      <c r="G9" s="1">
        <v>10940</v>
      </c>
      <c r="H9" s="9"/>
      <c r="I9" s="1">
        <v>791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0.145</v>
      </c>
      <c r="F10" s="1"/>
      <c r="G10" s="1">
        <v>13510</v>
      </c>
      <c r="H10" s="9"/>
      <c r="I10" s="1">
        <v>861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0.121</v>
      </c>
      <c r="F11" s="1"/>
      <c r="G11" s="1">
        <v>16003</v>
      </c>
      <c r="H11" s="9"/>
      <c r="I11" s="1">
        <v>1043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0.117</v>
      </c>
      <c r="F12" s="1"/>
      <c r="G12" s="1">
        <v>18192</v>
      </c>
      <c r="H12" s="9"/>
      <c r="I12" s="1">
        <v>1130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0.099</v>
      </c>
      <c r="F13" s="1"/>
      <c r="G13" s="1">
        <v>20948</v>
      </c>
      <c r="H13" s="9"/>
      <c r="I13" s="1">
        <v>1311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0.112</v>
      </c>
      <c r="F14" s="1"/>
      <c r="G14" s="1">
        <v>23632</v>
      </c>
      <c r="H14" s="9"/>
      <c r="I14" s="1">
        <v>1533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0.114</v>
      </c>
      <c r="F15" s="1"/>
      <c r="G15" s="1">
        <v>25907</v>
      </c>
      <c r="H15" s="9"/>
      <c r="I15" s="1">
        <v>1632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0.088</v>
      </c>
      <c r="F16" s="1"/>
      <c r="G16" s="1">
        <v>29670</v>
      </c>
      <c r="H16" s="9"/>
      <c r="I16" s="1">
        <v>1642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0.066</v>
      </c>
      <c r="F17" s="1"/>
      <c r="G17" s="1">
        <v>33132</v>
      </c>
      <c r="H17" s="9"/>
      <c r="I17" s="1">
        <v>1859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0.06</v>
      </c>
      <c r="F18" s="1"/>
      <c r="G18" s="1">
        <v>36705</v>
      </c>
      <c r="H18" s="9"/>
      <c r="I18" s="1">
        <v>1932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0.069</v>
      </c>
      <c r="F19" s="1"/>
      <c r="G19" s="1">
        <v>38581</v>
      </c>
      <c r="H19" s="9"/>
      <c r="I19" s="1">
        <v>1759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0.055</v>
      </c>
      <c r="F20" s="1"/>
      <c r="G20" s="1">
        <v>41591</v>
      </c>
      <c r="H20" s="9"/>
      <c r="I20" s="1">
        <v>1772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0.022</v>
      </c>
      <c r="F21" s="1"/>
      <c r="G21" s="1">
        <v>43837</v>
      </c>
      <c r="H21" s="10"/>
      <c r="I21" s="1">
        <v>1862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0.01</v>
      </c>
      <c r="F22" s="1"/>
      <c r="G22" s="1">
        <v>45114</v>
      </c>
      <c r="H22" s="9"/>
      <c r="I22" s="1">
        <v>1680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0.002</v>
      </c>
      <c r="F23" s="1"/>
      <c r="G23" s="12">
        <v>45600</v>
      </c>
      <c r="H23" s="9"/>
      <c r="I23" s="1">
        <v>702</v>
      </c>
      <c r="J23" s="1"/>
      <c r="K23" s="2"/>
    </row>
    <row r="24" spans="1:11">
      <c r="A24" s="2">
        <v>18</v>
      </c>
      <c r="B24" s="13"/>
      <c r="C24" s="13"/>
      <c r="D24" s="13"/>
      <c r="E24" s="2"/>
      <c r="F24" s="2"/>
      <c r="G24" s="2"/>
      <c r="H24" s="13"/>
      <c r="I24" s="2"/>
      <c r="J24" s="13"/>
      <c r="K24" s="13"/>
    </row>
    <row r="25" spans="1:11">
      <c r="A25" s="2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K17" sqref="K17"/>
    </sheetView>
  </sheetViews>
  <sheetFormatPr defaultColWidth="9.02654867256637" defaultRowHeight="12.75"/>
  <sheetData>
    <row r="2" ht="13.85" spans="1:8">
      <c r="A2" s="1" t="s">
        <v>183</v>
      </c>
      <c r="B2" s="1">
        <v>2212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0.157</v>
      </c>
      <c r="F6" s="1"/>
      <c r="G6" s="1">
        <v>5133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0.233</v>
      </c>
      <c r="F7" s="1"/>
      <c r="G7" s="1">
        <v>5765</v>
      </c>
      <c r="H7" s="9"/>
      <c r="I7" s="1">
        <v>404</v>
      </c>
      <c r="J7" s="1"/>
      <c r="K7" s="2"/>
    </row>
    <row r="8" ht="13.85" spans="1:11">
      <c r="A8" s="2">
        <v>2</v>
      </c>
      <c r="B8" s="2"/>
      <c r="C8" s="1"/>
      <c r="D8" s="1"/>
      <c r="E8" s="9">
        <v>0.21</v>
      </c>
      <c r="F8" s="1"/>
      <c r="G8" s="1">
        <v>6870</v>
      </c>
      <c r="H8" s="9"/>
      <c r="I8" s="1">
        <v>562</v>
      </c>
      <c r="J8" s="1"/>
      <c r="K8" s="2"/>
    </row>
    <row r="9" ht="13.85" spans="1:11">
      <c r="A9" s="2">
        <v>3</v>
      </c>
      <c r="B9" s="2"/>
      <c r="C9" s="1"/>
      <c r="D9" s="1"/>
      <c r="E9" s="9">
        <v>0.207</v>
      </c>
      <c r="F9" s="1"/>
      <c r="G9" s="1">
        <v>8714</v>
      </c>
      <c r="H9" s="9"/>
      <c r="I9" s="1">
        <v>737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0.188</v>
      </c>
      <c r="F10" s="1"/>
      <c r="G10" s="1">
        <v>11232</v>
      </c>
      <c r="H10" s="9"/>
      <c r="I10" s="1">
        <v>712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0.171</v>
      </c>
      <c r="F11" s="1"/>
      <c r="G11" s="1">
        <v>13355</v>
      </c>
      <c r="H11" s="9"/>
      <c r="I11" s="1">
        <v>865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0.157</v>
      </c>
      <c r="F12" s="1"/>
      <c r="G12" s="1">
        <v>15608</v>
      </c>
      <c r="H12" s="9"/>
      <c r="I12" s="1">
        <v>956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0.143</v>
      </c>
      <c r="F13" s="1"/>
      <c r="G13" s="1">
        <v>17494</v>
      </c>
      <c r="H13" s="9"/>
      <c r="I13" s="1">
        <v>1000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0.138</v>
      </c>
      <c r="F14" s="1"/>
      <c r="G14" s="1">
        <v>20274</v>
      </c>
      <c r="H14" s="9"/>
      <c r="I14" s="1">
        <v>1164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0.152</v>
      </c>
      <c r="F15" s="1"/>
      <c r="G15" s="1">
        <v>21820</v>
      </c>
      <c r="H15" s="9"/>
      <c r="I15" s="1">
        <v>1207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0.135</v>
      </c>
      <c r="F16" s="1"/>
      <c r="G16" s="1">
        <v>24375</v>
      </c>
      <c r="H16" s="9"/>
      <c r="I16" s="1">
        <v>1186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0.13</v>
      </c>
      <c r="F17" s="1"/>
      <c r="G17" s="1">
        <v>26595</v>
      </c>
      <c r="H17" s="9"/>
      <c r="I17" s="1">
        <v>1298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0.122</v>
      </c>
      <c r="F18" s="1"/>
      <c r="G18" s="1">
        <v>28650</v>
      </c>
      <c r="H18" s="9"/>
      <c r="I18" s="1">
        <v>1351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0.118</v>
      </c>
      <c r="F19" s="1"/>
      <c r="G19" s="1">
        <v>29911</v>
      </c>
      <c r="H19" s="9"/>
      <c r="I19" s="1">
        <v>1445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0.095</v>
      </c>
      <c r="F20" s="1"/>
      <c r="G20" s="1">
        <v>34344</v>
      </c>
      <c r="H20" s="9"/>
      <c r="I20" s="1">
        <v>1511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0.084</v>
      </c>
      <c r="F21" s="1"/>
      <c r="G21" s="1">
        <v>37057</v>
      </c>
      <c r="H21" s="10"/>
      <c r="I21" s="1">
        <v>1616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0.09</v>
      </c>
      <c r="F22" s="1"/>
      <c r="G22" s="1">
        <v>39239</v>
      </c>
      <c r="H22" s="9"/>
      <c r="I22" s="1">
        <v>1626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0.071</v>
      </c>
      <c r="F23" s="1"/>
      <c r="G23" s="12">
        <v>41372</v>
      </c>
      <c r="H23" s="9"/>
      <c r="I23" s="1">
        <v>1512</v>
      </c>
      <c r="J23" s="1"/>
      <c r="K23" s="2"/>
    </row>
    <row r="24" spans="1:11">
      <c r="A24" s="2">
        <v>18</v>
      </c>
      <c r="B24" s="13"/>
      <c r="C24" s="13"/>
      <c r="D24" s="13"/>
      <c r="E24" s="2">
        <v>0.077</v>
      </c>
      <c r="F24" s="2"/>
      <c r="G24" s="2">
        <v>42778</v>
      </c>
      <c r="H24" s="13"/>
      <c r="I24" s="2">
        <v>1596</v>
      </c>
      <c r="J24" s="13"/>
      <c r="K24" s="13"/>
    </row>
    <row r="25" spans="1:11">
      <c r="A25" s="2">
        <v>19</v>
      </c>
      <c r="B25" s="13"/>
      <c r="C25" s="13"/>
      <c r="D25" s="13"/>
      <c r="E25" s="2">
        <v>0.025</v>
      </c>
      <c r="F25" s="2"/>
      <c r="G25" s="2">
        <v>43745</v>
      </c>
      <c r="H25" s="2"/>
      <c r="I25" s="2">
        <v>1380</v>
      </c>
      <c r="J25" s="13"/>
      <c r="K25" s="13"/>
    </row>
    <row r="26" spans="1:11">
      <c r="A26" s="2">
        <v>20</v>
      </c>
      <c r="B26" s="13"/>
      <c r="C26" s="13"/>
      <c r="D26" s="13"/>
      <c r="E26" s="2">
        <v>0.008</v>
      </c>
      <c r="F26" s="2"/>
      <c r="G26" s="2">
        <v>44243</v>
      </c>
      <c r="H26" s="2"/>
      <c r="I26" s="2">
        <v>574</v>
      </c>
      <c r="J26" s="13"/>
      <c r="K26" s="13"/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"/>
  <sheetViews>
    <sheetView topLeftCell="B1" workbookViewId="0">
      <selection activeCell="H28" sqref="H28"/>
    </sheetView>
  </sheetViews>
  <sheetFormatPr defaultColWidth="9.02654867256637" defaultRowHeight="12.75"/>
  <sheetData>
    <row r="2" ht="13.85" spans="1:8">
      <c r="A2" s="1" t="s">
        <v>183</v>
      </c>
      <c r="B2" s="1">
        <v>2213</v>
      </c>
      <c r="D2" s="2" t="s">
        <v>202</v>
      </c>
      <c r="E2" s="2"/>
      <c r="G2" s="2" t="s">
        <v>184</v>
      </c>
      <c r="H2" s="3"/>
    </row>
    <row r="3" ht="13.85" spans="1:10">
      <c r="A3" s="1" t="s">
        <v>185</v>
      </c>
      <c r="B3" s="1">
        <v>167</v>
      </c>
      <c r="D3" s="2" t="s">
        <v>203</v>
      </c>
      <c r="E3" s="2"/>
      <c r="G3" s="4"/>
      <c r="H3" s="4"/>
      <c r="I3" s="4"/>
      <c r="J3" s="4"/>
    </row>
    <row r="4" ht="13.85" spans="1:10">
      <c r="A4" s="2" t="s">
        <v>186</v>
      </c>
      <c r="B4" s="2" t="s">
        <v>204</v>
      </c>
      <c r="D4" s="2" t="s">
        <v>205</v>
      </c>
      <c r="E4" s="5"/>
      <c r="F4" s="4"/>
      <c r="G4" s="4"/>
      <c r="H4" s="4"/>
      <c r="I4" s="4"/>
      <c r="J4" s="4"/>
    </row>
    <row r="5" ht="13.85" spans="1:11">
      <c r="A5" s="2" t="s">
        <v>187</v>
      </c>
      <c r="B5" s="6" t="s">
        <v>188</v>
      </c>
      <c r="C5" s="7" t="s">
        <v>189</v>
      </c>
      <c r="D5" s="7" t="s">
        <v>128</v>
      </c>
      <c r="E5" s="8" t="s">
        <v>190</v>
      </c>
      <c r="F5" s="7" t="s">
        <v>191</v>
      </c>
      <c r="G5" s="8" t="s">
        <v>145</v>
      </c>
      <c r="H5" s="7" t="s">
        <v>192</v>
      </c>
      <c r="I5" s="8" t="s">
        <v>193</v>
      </c>
      <c r="J5" s="14" t="s">
        <v>194</v>
      </c>
      <c r="K5" s="1" t="s">
        <v>195</v>
      </c>
    </row>
    <row r="6" ht="13.85" spans="1:11">
      <c r="A6" s="2">
        <v>0</v>
      </c>
      <c r="B6" s="2"/>
      <c r="C6" s="1"/>
      <c r="D6" s="1"/>
      <c r="E6" s="9">
        <v>0.155</v>
      </c>
      <c r="F6" s="1"/>
      <c r="G6" s="1">
        <v>5765</v>
      </c>
      <c r="H6" s="1"/>
      <c r="J6" s="1">
        <v>300</v>
      </c>
      <c r="K6" s="13"/>
    </row>
    <row r="7" ht="13.85" spans="1:11">
      <c r="A7" s="2">
        <v>1</v>
      </c>
      <c r="B7" s="2"/>
      <c r="C7" s="1"/>
      <c r="D7" s="1"/>
      <c r="E7" s="9">
        <v>0.24</v>
      </c>
      <c r="F7" s="1"/>
      <c r="G7" s="1">
        <v>6355</v>
      </c>
      <c r="H7" s="9"/>
      <c r="I7" s="1">
        <v>482</v>
      </c>
      <c r="J7" s="1"/>
      <c r="K7" s="2"/>
    </row>
    <row r="8" ht="13.85" spans="1:11">
      <c r="A8" s="2">
        <v>2</v>
      </c>
      <c r="B8" s="2"/>
      <c r="C8" s="1"/>
      <c r="D8" s="1"/>
      <c r="E8" s="9">
        <v>0.194</v>
      </c>
      <c r="F8" s="1"/>
      <c r="G8" s="1">
        <v>8655</v>
      </c>
      <c r="H8" s="9"/>
      <c r="I8" s="1">
        <v>541</v>
      </c>
      <c r="J8" s="1"/>
      <c r="K8" s="2"/>
    </row>
    <row r="9" ht="13.85" spans="1:11">
      <c r="A9" s="2">
        <v>3</v>
      </c>
      <c r="B9" s="2"/>
      <c r="C9" s="1"/>
      <c r="D9" s="1"/>
      <c r="E9" s="9">
        <v>0.182</v>
      </c>
      <c r="F9" s="1"/>
      <c r="G9" s="1">
        <v>11378</v>
      </c>
      <c r="H9" s="9"/>
      <c r="I9" s="1">
        <v>670</v>
      </c>
      <c r="J9" s="1"/>
      <c r="K9" s="2"/>
    </row>
    <row r="10" ht="13.85" spans="1:11">
      <c r="A10" s="2">
        <v>4</v>
      </c>
      <c r="B10" s="2"/>
      <c r="C10" s="1"/>
      <c r="D10" s="1"/>
      <c r="E10" s="9">
        <v>0.169</v>
      </c>
      <c r="F10" s="1"/>
      <c r="G10" s="1">
        <v>1417</v>
      </c>
      <c r="H10" s="9"/>
      <c r="I10" s="1">
        <v>814</v>
      </c>
      <c r="J10" s="1"/>
      <c r="K10" s="2"/>
    </row>
    <row r="11" ht="13.85" spans="1:11">
      <c r="A11" s="2">
        <v>5</v>
      </c>
      <c r="B11" s="2"/>
      <c r="C11" s="1"/>
      <c r="D11" s="1"/>
      <c r="E11" s="9">
        <v>0.161</v>
      </c>
      <c r="F11" s="1"/>
      <c r="G11" s="1">
        <v>16632</v>
      </c>
      <c r="H11" s="9"/>
      <c r="I11" s="1">
        <v>981</v>
      </c>
      <c r="J11" s="1"/>
      <c r="K11" s="2"/>
    </row>
    <row r="12" ht="13.85" spans="1:11">
      <c r="A12" s="2">
        <v>6</v>
      </c>
      <c r="B12" s="2"/>
      <c r="C12" s="1"/>
      <c r="D12" s="1"/>
      <c r="E12" s="9">
        <v>0.156</v>
      </c>
      <c r="F12" s="1"/>
      <c r="G12" s="1">
        <v>18593</v>
      </c>
      <c r="H12" s="9"/>
      <c r="I12" s="1">
        <v>1095</v>
      </c>
      <c r="J12" s="1"/>
      <c r="K12" s="2"/>
    </row>
    <row r="13" ht="13.85" spans="1:11">
      <c r="A13" s="2">
        <v>7</v>
      </c>
      <c r="B13" s="2"/>
      <c r="C13" s="1"/>
      <c r="D13" s="1"/>
      <c r="E13" s="9">
        <v>0.142</v>
      </c>
      <c r="F13" s="1"/>
      <c r="G13" s="1">
        <v>20488</v>
      </c>
      <c r="H13" s="9"/>
      <c r="I13" s="1">
        <v>1085</v>
      </c>
      <c r="J13" s="1"/>
      <c r="K13" s="2"/>
    </row>
    <row r="14" ht="13.85" spans="1:11">
      <c r="A14" s="2">
        <v>8</v>
      </c>
      <c r="B14" s="2"/>
      <c r="C14" s="1"/>
      <c r="D14" s="1"/>
      <c r="E14" s="9">
        <v>0.126</v>
      </c>
      <c r="F14" s="1"/>
      <c r="G14" s="1">
        <v>23046</v>
      </c>
      <c r="H14" s="9"/>
      <c r="I14" s="1">
        <v>1238</v>
      </c>
      <c r="J14" s="1"/>
      <c r="K14" s="2"/>
    </row>
    <row r="15" ht="13.85" spans="1:11">
      <c r="A15" s="2">
        <v>9</v>
      </c>
      <c r="B15" s="2"/>
      <c r="C15" s="1"/>
      <c r="D15" s="1"/>
      <c r="E15" s="9">
        <v>0.14</v>
      </c>
      <c r="F15" s="1"/>
      <c r="G15" s="1">
        <v>24553</v>
      </c>
      <c r="H15" s="9"/>
      <c r="I15" s="1">
        <v>1146</v>
      </c>
      <c r="J15" s="1"/>
      <c r="K15" s="2"/>
    </row>
    <row r="16" ht="13.85" spans="1:11">
      <c r="A16" s="2">
        <v>10</v>
      </c>
      <c r="B16" s="2"/>
      <c r="C16" s="1"/>
      <c r="D16" s="1"/>
      <c r="E16" s="9">
        <v>0.14</v>
      </c>
      <c r="F16" s="1"/>
      <c r="G16" s="1">
        <v>26888</v>
      </c>
      <c r="H16" s="9"/>
      <c r="I16" s="1">
        <v>1302</v>
      </c>
      <c r="J16" s="1"/>
      <c r="K16" s="2"/>
    </row>
    <row r="17" ht="13.85" spans="1:11">
      <c r="A17" s="2">
        <v>11</v>
      </c>
      <c r="B17" s="2"/>
      <c r="C17" s="1"/>
      <c r="D17" s="1"/>
      <c r="E17" s="9">
        <v>0.13</v>
      </c>
      <c r="F17" s="1"/>
      <c r="G17" s="1">
        <v>28655</v>
      </c>
      <c r="H17" s="9"/>
      <c r="I17" s="1">
        <v>1349</v>
      </c>
      <c r="J17" s="1"/>
      <c r="K17" s="2"/>
    </row>
    <row r="18" ht="13.85" spans="1:11">
      <c r="A18" s="2">
        <v>12</v>
      </c>
      <c r="B18" s="2"/>
      <c r="C18" s="1"/>
      <c r="D18" s="1"/>
      <c r="E18" s="9">
        <v>0.096</v>
      </c>
      <c r="F18" s="1"/>
      <c r="G18" s="1">
        <v>3075</v>
      </c>
      <c r="H18" s="9"/>
      <c r="I18" s="1">
        <v>1435</v>
      </c>
      <c r="J18" s="1"/>
      <c r="K18" s="2"/>
    </row>
    <row r="19" ht="13.85" spans="1:11">
      <c r="A19" s="2">
        <v>13</v>
      </c>
      <c r="B19" s="2"/>
      <c r="C19" s="1"/>
      <c r="D19" s="1"/>
      <c r="E19" s="9">
        <v>0.101</v>
      </c>
      <c r="F19" s="1"/>
      <c r="G19" s="1">
        <v>33562</v>
      </c>
      <c r="H19" s="9"/>
      <c r="I19" s="1">
        <v>1557</v>
      </c>
      <c r="J19" s="1"/>
      <c r="K19" s="2"/>
    </row>
    <row r="20" ht="13.85" spans="1:11">
      <c r="A20" s="2">
        <v>14</v>
      </c>
      <c r="B20" s="2"/>
      <c r="C20" s="1"/>
      <c r="D20" s="1"/>
      <c r="E20" s="9">
        <v>0.092</v>
      </c>
      <c r="F20" s="1"/>
      <c r="G20" s="1">
        <v>35921</v>
      </c>
      <c r="H20" s="9"/>
      <c r="I20" s="1">
        <v>1574</v>
      </c>
      <c r="J20" s="1"/>
      <c r="K20" s="2"/>
    </row>
    <row r="21" ht="13.85" spans="1:11">
      <c r="A21" s="2">
        <v>15</v>
      </c>
      <c r="B21" s="2"/>
      <c r="C21" s="1"/>
      <c r="D21" s="1"/>
      <c r="E21" s="9">
        <v>0.079</v>
      </c>
      <c r="F21" s="1"/>
      <c r="G21" s="1">
        <v>39290</v>
      </c>
      <c r="H21" s="10"/>
      <c r="I21" s="1">
        <v>1672</v>
      </c>
      <c r="J21" s="1"/>
      <c r="K21" s="2"/>
    </row>
    <row r="22" ht="13.85" spans="1:11">
      <c r="A22" s="2">
        <v>16</v>
      </c>
      <c r="B22" s="2"/>
      <c r="C22" s="1"/>
      <c r="D22" s="1"/>
      <c r="E22" s="9">
        <v>0.06</v>
      </c>
      <c r="F22" s="1"/>
      <c r="G22" s="1">
        <v>41677</v>
      </c>
      <c r="H22" s="9"/>
      <c r="I22" s="1">
        <v>1658</v>
      </c>
      <c r="J22" s="1"/>
      <c r="K22" s="2"/>
    </row>
    <row r="23" ht="13.85" spans="1:11">
      <c r="A23" s="2">
        <v>17</v>
      </c>
      <c r="B23" s="2"/>
      <c r="C23" s="1"/>
      <c r="D23" s="1"/>
      <c r="E23" s="11">
        <v>0.003</v>
      </c>
      <c r="F23" s="1"/>
      <c r="G23" s="12">
        <v>43448</v>
      </c>
      <c r="H23" s="9"/>
      <c r="I23" s="1">
        <v>1713</v>
      </c>
      <c r="J23" s="1"/>
      <c r="K23" s="2"/>
    </row>
    <row r="24" spans="1:11">
      <c r="A24" s="2">
        <v>18</v>
      </c>
      <c r="B24" s="13"/>
      <c r="C24" s="13"/>
      <c r="D24" s="13"/>
      <c r="E24" s="2">
        <v>0.04</v>
      </c>
      <c r="F24" s="2"/>
      <c r="G24" s="2">
        <v>44909</v>
      </c>
      <c r="H24" s="13"/>
      <c r="I24" s="2">
        <v>1688</v>
      </c>
      <c r="J24" s="13"/>
      <c r="K24" s="13"/>
    </row>
    <row r="25" spans="1:11">
      <c r="A25" s="2">
        <v>19</v>
      </c>
      <c r="B25" s="13"/>
      <c r="C25" s="13"/>
      <c r="D25" s="13"/>
      <c r="E25" s="2">
        <v>0.009</v>
      </c>
      <c r="F25" s="13"/>
      <c r="G25" s="2">
        <v>44556</v>
      </c>
      <c r="H25" s="13"/>
      <c r="I25" s="2">
        <v>700</v>
      </c>
      <c r="J25" s="13"/>
      <c r="K25" s="13"/>
    </row>
    <row r="26" spans="1:11">
      <c r="A26" s="2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AB Mauri</Company>
  <Application>Microsoft Excel</Application>
  <HeadingPairs>
    <vt:vector size="2" baseType="variant">
      <vt:variant>
        <vt:lpstr>工作表</vt:lpstr>
      </vt:variant>
      <vt:variant>
        <vt:i4>63</vt:i4>
      </vt:variant>
    </vt:vector>
  </HeadingPairs>
  <TitlesOfParts>
    <vt:vector size="63" baseType="lpstr">
      <vt:lpstr>DIFF</vt:lpstr>
      <vt:lpstr>评价标准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Cheung</dc:creator>
  <cp:lastModifiedBy>东凯</cp:lastModifiedBy>
  <dcterms:created xsi:type="dcterms:W3CDTF">2014-03-25T07:04:00Z</dcterms:created>
  <cp:lastPrinted>2014-11-07T14:45:00Z</cp:lastPrinted>
  <dcterms:modified xsi:type="dcterms:W3CDTF">2025-04-07T05:37:29Z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33303AD206B3441788ACCFA4E96628F7</vt:lpwstr>
  </property>
  <property fmtid="{D5CDD505-2E9C-101B-9397-08002B2CF9AE}" pid="3" name="KSOProductBuildVer">
    <vt:lpwstr>2052-11.1.0.11757</vt:lpwstr>
  </property>
</Properties>
</file>